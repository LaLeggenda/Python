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511757\Documents\AutoPM template\"/>
    </mc:Choice>
  </mc:AlternateContent>
  <xr:revisionPtr revIDLastSave="0" documentId="13_ncr:1_{0713012D-C08E-4F10-9CF3-0A5EF5FFC970}" xr6:coauthVersionLast="47" xr6:coauthVersionMax="47" xr10:uidLastSave="{00000000-0000-0000-0000-000000000000}"/>
  <bookViews>
    <workbookView xWindow="28680" yWindow="-120" windowWidth="25440" windowHeight="15390" firstSheet="4" activeTab="12" xr2:uid="{00000000-000D-0000-FFFF-FFFF00000000}"/>
  </bookViews>
  <sheets>
    <sheet name="Foglio1" sheetId="24" state="hidden" r:id="rId1"/>
    <sheet name="Changelog" sheetId="23" r:id="rId2"/>
    <sheet name="Open Points" sheetId="30" r:id="rId3"/>
    <sheet name="Roadmap_AC" sheetId="25" state="hidden" r:id="rId4"/>
    <sheet name="Menu" sheetId="42" r:id="rId5"/>
    <sheet name="Roadmap" sheetId="45" r:id="rId6"/>
    <sheet name="Team" sheetId="32" r:id="rId7"/>
    <sheet name="View2" sheetId="51" r:id="rId8"/>
    <sheet name="View" sheetId="44" r:id="rId9"/>
    <sheet name="ppt (to be del)" sheetId="38" state="hidden" r:id="rId10"/>
    <sheet name="Workload" sheetId="49" r:id="rId11"/>
    <sheet name="Workload old" sheetId="29" state="hidden" r:id="rId12"/>
    <sheet name="Planback" sheetId="48" r:id="rId13"/>
    <sheet name="Plan" sheetId="50" r:id="rId14"/>
  </sheets>
  <externalReferences>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13" hidden="1">Plan!$A$3:$I$3</definedName>
    <definedName name="_xlnm._FilterDatabase" localSheetId="12" hidden="1">Planback!$A$9:$I$154</definedName>
    <definedName name="_xlnm._FilterDatabase" localSheetId="5" hidden="1">Roadmap!$A$1:$M$60</definedName>
    <definedName name="_xlnm._FilterDatabase" localSheetId="3" hidden="1">Roadmap_AC!$A$1:$P$86</definedName>
    <definedName name="_xlnm._FilterDatabase" localSheetId="6" hidden="1">Team!#REF!</definedName>
    <definedName name="_xlnm._FilterDatabase" localSheetId="10" hidden="1">Workload!$A$3:$L$134</definedName>
    <definedName name="_xlnm._FilterDatabase" localSheetId="11" hidden="1">'Workload old'!$B$3:$K$100</definedName>
    <definedName name="_Order2" hidden="1">255</definedName>
    <definedName name="Allocation">[1]Legenda!$B$44:$B$49</definedName>
    <definedName name="applicationdate" localSheetId="10">#REF!</definedName>
    <definedName name="applicationdate">#REF!</definedName>
    <definedName name="ATTACH_TYPE">#REF!</definedName>
    <definedName name="ATTACH_TYPE2">#REF!</definedName>
    <definedName name="ATTACH_TYPE3">#REF!</definedName>
    <definedName name="ATTACH_TYPE4">#REF!</definedName>
    <definedName name="Coef_ATS_Component">1.85</definedName>
    <definedName name="Coef_ATS_SuperviseExternal">0.07</definedName>
    <definedName name="Coef_ATS_System">1.82</definedName>
    <definedName name="Coef_Component">1.85</definedName>
    <definedName name="Coef_S2K_ComponentSystem">2.86</definedName>
    <definedName name="Coef_SCADA_ComponentSystem">2.78</definedName>
    <definedName name="Coef_SuperviseExternal">0.07</definedName>
    <definedName name="Coef_System">1.5</definedName>
    <definedName name="Coef_SystemExternalInt">1.3</definedName>
    <definedName name="Coef_SystemOriginal">1.86</definedName>
    <definedName name="DOC_TYPE">#REF!</definedName>
    <definedName name="DOC_TYPE2">#REF!</definedName>
    <definedName name="DOC_TYPE3">#REF!</definedName>
    <definedName name="DOC_TYPE4">#REF!</definedName>
    <definedName name="DOC_TYPE5">#REF!</definedName>
    <definedName name="FOCfull">'[2]CoreTeam Simulator'!$G$12</definedName>
    <definedName name="FOCfull_Weight">'[2]CoreTeam Simulator'!$I$12</definedName>
    <definedName name="FOCmajor">'[2]CoreTeam Simulator'!$G$11</definedName>
    <definedName name="FOCmajor_Weight">'[2]CoreTeam Simulator'!$I$11</definedName>
    <definedName name="FOCminor">'[2]CoreTeam Simulator'!$G$10</definedName>
    <definedName name="FOCminor_Weight">'[2]CoreTeam Simulator'!$I$10</definedName>
    <definedName name="FQA">'[2]CoreTeam Simulator'!$F$94</definedName>
    <definedName name="FTEh">'[2]CoreTeam Simulator'!$G$13</definedName>
    <definedName name="GA_time">#REF!</definedName>
    <definedName name="Interfaces">'[2]CoreTeam Simulator'!$G$7</definedName>
    <definedName name="Internal_Standard">'[3]Front Page 01'!$G$89</definedName>
    <definedName name="Is_Requirement">[4]Legend!$B$5:$B$6</definedName>
    <definedName name="Ki">#REF!</definedName>
    <definedName name="MGT_HR">#REF!</definedName>
    <definedName name="Nb_FoC">#REF!</definedName>
    <definedName name="NbFoc">#REF!</definedName>
    <definedName name="Negotiable">[4]Legend!$B$8:$B$9</definedName>
    <definedName name="NoBo">'[2]CoreTeam Simulator'!$F$91</definedName>
    <definedName name="NOK">[5]SOH!$C$2</definedName>
    <definedName name="Numbers">[6]Data!$B$2:$B$7</definedName>
    <definedName name="ooo" localSheetId="10">#REF!</definedName>
    <definedName name="ooo">#REF!</definedName>
    <definedName name="PROJCOST">#REF!</definedName>
    <definedName name="reference" localSheetId="10">#REF!</definedName>
    <definedName name="reference">#REF!</definedName>
    <definedName name="RSRC">#REF!</definedName>
    <definedName name="SA_time">#REF!</definedName>
    <definedName name="step1fonction" localSheetId="10">#REF!</definedName>
    <definedName name="step1fonction">#REF!</definedName>
    <definedName name="step1function" localSheetId="10">#REF!</definedName>
    <definedName name="step1function">#REF!</definedName>
    <definedName name="step1name" localSheetId="10">#REF!</definedName>
    <definedName name="step1name">#REF!</definedName>
    <definedName name="step1signature" localSheetId="10">#REF!</definedName>
    <definedName name="step1signature">#REF!</definedName>
    <definedName name="step2fonction" localSheetId="10">#REF!</definedName>
    <definedName name="step2fonction">#REF!</definedName>
    <definedName name="step2function" localSheetId="10">#REF!</definedName>
    <definedName name="step2function">#REF!</definedName>
    <definedName name="step2name" localSheetId="10">#REF!</definedName>
    <definedName name="step2name">#REF!</definedName>
    <definedName name="step2signature" localSheetId="10">#REF!</definedName>
    <definedName name="step2signature">#REF!</definedName>
    <definedName name="step3fonction" localSheetId="10">#REF!</definedName>
    <definedName name="step3fonction">#REF!</definedName>
    <definedName name="step3function" localSheetId="10">#REF!</definedName>
    <definedName name="step3function">#REF!</definedName>
    <definedName name="step3name" localSheetId="10">#REF!</definedName>
    <definedName name="step3name">#REF!</definedName>
    <definedName name="step3signature" localSheetId="10">#REF!</definedName>
    <definedName name="step3signature">#REF!</definedName>
    <definedName name="STMcomplex">'[2]CoreTeam Simulator'!$G$9</definedName>
    <definedName name="STMeasy">'[2]CoreTeam Simulator'!$G$8</definedName>
    <definedName name="TASK">[5]Table!#REF!</definedName>
    <definedName name="TASKPRED">#REF!</definedName>
    <definedName name="TASKRSRC">#REF!</definedName>
    <definedName name="TEST0" localSheetId="10">#REF!</definedName>
    <definedName name="TEST0">#REF!</definedName>
    <definedName name="TEST1" localSheetId="10">'[7]SA account'!#REF!</definedName>
    <definedName name="TEST1">'[7]SA account'!#REF!</definedName>
    <definedName name="TEST29" localSheetId="10">'[8]sap actual con conversion'!#REF!</definedName>
    <definedName name="TEST29">'[8]sap actual con conversion'!#REF!</definedName>
    <definedName name="TEST30" localSheetId="10">'[8]sap actual con conversion'!#REF!</definedName>
    <definedName name="TEST30">'[8]sap actual con conversion'!#REF!</definedName>
    <definedName name="TEST31" localSheetId="10">'[8]sap actual con conversion'!#REF!</definedName>
    <definedName name="TEST31">'[8]sap actual con conversion'!#REF!</definedName>
    <definedName name="TEST5">'[7]SA account'!#REF!</definedName>
    <definedName name="TEST8">'[7]SA account'!#REF!</definedName>
    <definedName name="Total_time">#REF!</definedName>
    <definedName name="USERDATA">#REF!</definedName>
    <definedName name="version" localSheetId="10">#REF!</definedName>
    <definedName name="version">#REF!</definedName>
    <definedName name="VGR">'[2]CoreTeam Simulator'!$F$92</definedName>
    <definedName name="WAR_Time">#REF!</definedName>
  </definedNames>
  <calcPr calcId="191028"/>
  <pivotCaches>
    <pivotCache cacheId="22" r:id="rId23"/>
    <pivotCache cacheId="27"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9" i="48" l="1"/>
  <c r="C148" i="48"/>
  <c r="C147" i="48"/>
  <c r="C146" i="48"/>
  <c r="C145" i="48"/>
  <c r="C144" i="48"/>
  <c r="C142" i="48"/>
  <c r="C141" i="48"/>
  <c r="C140" i="48"/>
  <c r="C139" i="48"/>
  <c r="C138" i="48"/>
  <c r="C137" i="48"/>
  <c r="C135" i="48"/>
  <c r="C134" i="48"/>
  <c r="C133" i="48"/>
  <c r="C132" i="48"/>
  <c r="C131" i="48"/>
  <c r="C130" i="48"/>
  <c r="C128" i="48"/>
  <c r="C127" i="48"/>
  <c r="C126" i="48"/>
  <c r="C125" i="48"/>
  <c r="C124" i="48"/>
  <c r="C123" i="48"/>
  <c r="C121" i="48"/>
  <c r="C120" i="48"/>
  <c r="C119" i="48"/>
  <c r="C118" i="48"/>
  <c r="C117" i="48"/>
  <c r="C116" i="48"/>
  <c r="C114" i="48"/>
  <c r="C113" i="48"/>
  <c r="C112" i="48"/>
  <c r="C111" i="48"/>
  <c r="C110" i="48"/>
  <c r="C109" i="48"/>
  <c r="C107" i="48"/>
  <c r="C106" i="48"/>
  <c r="C105" i="48"/>
  <c r="C104" i="48"/>
  <c r="C103" i="48"/>
  <c r="C102" i="48"/>
  <c r="C100" i="48"/>
  <c r="C99" i="48"/>
  <c r="C98" i="48"/>
  <c r="C97" i="48"/>
  <c r="C96" i="48"/>
  <c r="C95" i="48"/>
  <c r="C93" i="48"/>
  <c r="C92" i="48"/>
  <c r="C91" i="48"/>
  <c r="C90" i="48"/>
  <c r="C89" i="48"/>
  <c r="C88" i="48"/>
  <c r="C86" i="48"/>
  <c r="C85" i="48"/>
  <c r="C84" i="48"/>
  <c r="C83" i="48"/>
  <c r="C82" i="48"/>
  <c r="C81" i="48"/>
  <c r="C79" i="48"/>
  <c r="C78" i="48"/>
  <c r="C77" i="48"/>
  <c r="C76" i="48"/>
  <c r="C75" i="48"/>
  <c r="C74" i="48"/>
  <c r="C72" i="48"/>
  <c r="C71" i="48"/>
  <c r="C70" i="48"/>
  <c r="C69" i="48"/>
  <c r="C68" i="48"/>
  <c r="C67" i="48"/>
  <c r="C65" i="48"/>
  <c r="C64" i="48"/>
  <c r="C63" i="48"/>
  <c r="C62" i="48"/>
  <c r="C61" i="48"/>
  <c r="C60" i="48"/>
  <c r="C58" i="48"/>
  <c r="C57" i="48"/>
  <c r="C56" i="48"/>
  <c r="C55" i="48"/>
  <c r="C54" i="48"/>
  <c r="C53" i="48"/>
  <c r="C51" i="48"/>
  <c r="C50" i="48"/>
  <c r="C49" i="48"/>
  <c r="C48" i="48"/>
  <c r="C47" i="48"/>
  <c r="C46" i="48"/>
  <c r="C44" i="48"/>
  <c r="C43" i="48"/>
  <c r="C42" i="48"/>
  <c r="C41" i="48"/>
  <c r="C40" i="48"/>
  <c r="C39" i="48"/>
  <c r="C37" i="48"/>
  <c r="C36" i="48"/>
  <c r="C35" i="48"/>
  <c r="C34" i="48"/>
  <c r="C33" i="48"/>
  <c r="C32" i="48"/>
  <c r="C30" i="48"/>
  <c r="C29" i="48"/>
  <c r="C28" i="48"/>
  <c r="C27" i="48"/>
  <c r="C26" i="48"/>
  <c r="C25" i="48"/>
  <c r="C19" i="48"/>
  <c r="C20" i="48"/>
  <c r="C21" i="48"/>
  <c r="C22" i="48"/>
  <c r="C23" i="48"/>
  <c r="A22" i="51"/>
  <c r="B22" i="51"/>
  <c r="C22" i="51"/>
  <c r="D22" i="51"/>
  <c r="A23" i="51"/>
  <c r="B23" i="51"/>
  <c r="C23" i="51"/>
  <c r="D23" i="51"/>
  <c r="A8" i="51"/>
  <c r="B8" i="51"/>
  <c r="C8" i="51"/>
  <c r="D8" i="51"/>
  <c r="A24" i="51"/>
  <c r="B24" i="51"/>
  <c r="C24" i="51"/>
  <c r="D24" i="51"/>
  <c r="A3" i="51"/>
  <c r="B3" i="51"/>
  <c r="C3" i="51"/>
  <c r="D3" i="51"/>
  <c r="A4" i="51"/>
  <c r="B4" i="51"/>
  <c r="C4" i="51"/>
  <c r="D4" i="51"/>
  <c r="A41" i="51"/>
  <c r="B41" i="51"/>
  <c r="C41" i="51"/>
  <c r="D41" i="51"/>
  <c r="A57" i="51"/>
  <c r="B57" i="51"/>
  <c r="C57" i="51"/>
  <c r="D57" i="51"/>
  <c r="A9" i="51"/>
  <c r="B9" i="51"/>
  <c r="C9" i="51"/>
  <c r="D9" i="51"/>
  <c r="A5" i="51"/>
  <c r="B5" i="51"/>
  <c r="C5" i="51"/>
  <c r="D5" i="51"/>
  <c r="A6" i="51"/>
  <c r="B6" i="51"/>
  <c r="C6" i="51"/>
  <c r="D6" i="51"/>
  <c r="A7" i="51"/>
  <c r="B7" i="51"/>
  <c r="C7" i="51"/>
  <c r="D7" i="51"/>
  <c r="A25" i="51"/>
  <c r="B25" i="51"/>
  <c r="C25" i="51"/>
  <c r="D25" i="51"/>
  <c r="A26" i="51"/>
  <c r="B26" i="51"/>
  <c r="C26" i="51"/>
  <c r="D26" i="51"/>
  <c r="A42" i="51"/>
  <c r="B42" i="51"/>
  <c r="C42" i="51"/>
  <c r="D42" i="51"/>
  <c r="A43" i="51"/>
  <c r="B43" i="51"/>
  <c r="C43" i="51"/>
  <c r="D43" i="51"/>
  <c r="A44" i="51"/>
  <c r="B44" i="51"/>
  <c r="C44" i="51"/>
  <c r="D44" i="51"/>
  <c r="A10" i="51"/>
  <c r="B10" i="51"/>
  <c r="C10" i="51"/>
  <c r="D10" i="51"/>
  <c r="A11" i="51"/>
  <c r="B11" i="51"/>
  <c r="C11" i="51"/>
  <c r="D11" i="51"/>
  <c r="A12" i="51"/>
  <c r="B12" i="51"/>
  <c r="C12" i="51"/>
  <c r="D12" i="51"/>
  <c r="A27" i="51"/>
  <c r="B27" i="51"/>
  <c r="C27" i="51"/>
  <c r="D27" i="51"/>
  <c r="A13" i="51"/>
  <c r="B13" i="51"/>
  <c r="C13" i="51"/>
  <c r="D13" i="51"/>
  <c r="A14" i="51"/>
  <c r="B14" i="51"/>
  <c r="C14" i="51"/>
  <c r="D14" i="51"/>
  <c r="A28" i="51"/>
  <c r="B28" i="51"/>
  <c r="C28" i="51"/>
  <c r="D28" i="51"/>
  <c r="A15" i="51"/>
  <c r="B15" i="51"/>
  <c r="C15" i="51"/>
  <c r="D15" i="51"/>
  <c r="A29" i="51"/>
  <c r="B29" i="51"/>
  <c r="C29" i="51"/>
  <c r="D29" i="51"/>
  <c r="A30" i="51"/>
  <c r="B30" i="51"/>
  <c r="C30" i="51"/>
  <c r="D30" i="51"/>
  <c r="A31" i="51"/>
  <c r="B31" i="51"/>
  <c r="C31" i="51"/>
  <c r="D31" i="51"/>
  <c r="A32" i="51"/>
  <c r="B32" i="51"/>
  <c r="C32" i="51"/>
  <c r="D32" i="51"/>
  <c r="A33" i="51"/>
  <c r="B33" i="51"/>
  <c r="C33" i="51"/>
  <c r="D33" i="51"/>
  <c r="A16" i="51"/>
  <c r="B16" i="51"/>
  <c r="C16" i="51"/>
  <c r="D16" i="51"/>
  <c r="A17" i="51"/>
  <c r="B17" i="51"/>
  <c r="C17" i="51"/>
  <c r="D17" i="51"/>
  <c r="A34" i="51"/>
  <c r="B34" i="51"/>
  <c r="C34" i="51"/>
  <c r="D34" i="51"/>
  <c r="A45" i="51"/>
  <c r="B45" i="51"/>
  <c r="C45" i="51"/>
  <c r="D45" i="51"/>
  <c r="A46" i="51"/>
  <c r="B46" i="51"/>
  <c r="C46" i="51"/>
  <c r="D46" i="51"/>
  <c r="A47" i="51"/>
  <c r="B47" i="51"/>
  <c r="C47" i="51"/>
  <c r="D47" i="51"/>
  <c r="A48" i="51"/>
  <c r="B48" i="51"/>
  <c r="C48" i="51"/>
  <c r="D48" i="51"/>
  <c r="A49" i="51"/>
  <c r="B49" i="51"/>
  <c r="C49" i="51"/>
  <c r="D49" i="51"/>
  <c r="A50" i="51"/>
  <c r="B50" i="51"/>
  <c r="C50" i="51"/>
  <c r="D50" i="51"/>
  <c r="A35" i="51"/>
  <c r="B35" i="51"/>
  <c r="C35" i="51"/>
  <c r="D35" i="51"/>
  <c r="A51" i="51"/>
  <c r="B51" i="51"/>
  <c r="C51" i="51"/>
  <c r="D51" i="51"/>
  <c r="A36" i="51"/>
  <c r="B36" i="51"/>
  <c r="C36" i="51"/>
  <c r="D36" i="51"/>
  <c r="A37" i="51"/>
  <c r="B37" i="51"/>
  <c r="C37" i="51"/>
  <c r="D37" i="51"/>
  <c r="A18" i="51"/>
  <c r="B18" i="51"/>
  <c r="C18" i="51"/>
  <c r="D18" i="51"/>
  <c r="A38" i="51"/>
  <c r="B38" i="51"/>
  <c r="C38" i="51"/>
  <c r="D38" i="51"/>
  <c r="A52" i="51"/>
  <c r="B52" i="51"/>
  <c r="C52" i="51"/>
  <c r="D52" i="51"/>
  <c r="A53" i="51"/>
  <c r="B53" i="51"/>
  <c r="C53" i="51"/>
  <c r="D53" i="51"/>
  <c r="A54" i="51"/>
  <c r="B54" i="51"/>
  <c r="C54" i="51"/>
  <c r="D54" i="51"/>
  <c r="A55" i="51"/>
  <c r="B55" i="51"/>
  <c r="C55" i="51"/>
  <c r="D55" i="51"/>
  <c r="A56" i="51"/>
  <c r="B56" i="51"/>
  <c r="C56" i="51"/>
  <c r="D56" i="51"/>
  <c r="A19" i="51"/>
  <c r="B19" i="51"/>
  <c r="C19" i="51"/>
  <c r="D19" i="51"/>
  <c r="A20" i="51"/>
  <c r="B20" i="51"/>
  <c r="C20" i="51"/>
  <c r="D20" i="51"/>
  <c r="A39" i="51"/>
  <c r="B39" i="51"/>
  <c r="C39" i="51"/>
  <c r="D39" i="51"/>
  <c r="A40" i="51"/>
  <c r="B40" i="51"/>
  <c r="C40" i="51"/>
  <c r="D40" i="51"/>
  <c r="A21" i="51"/>
  <c r="B21" i="51"/>
  <c r="C21" i="51"/>
  <c r="D21" i="51"/>
  <c r="D2" i="51"/>
  <c r="B2" i="51"/>
  <c r="C2" i="51"/>
  <c r="A2" i="51"/>
  <c r="K256" i="50"/>
  <c r="L256" i="50"/>
  <c r="M256" i="50"/>
  <c r="N256" i="50"/>
  <c r="O256" i="50"/>
  <c r="O292" i="50" s="1"/>
  <c r="P256" i="50"/>
  <c r="Q256" i="50"/>
  <c r="R256" i="50"/>
  <c r="S256" i="50"/>
  <c r="T256" i="50"/>
  <c r="U256" i="50"/>
  <c r="V256" i="50"/>
  <c r="W256" i="50"/>
  <c r="W292" i="50" s="1"/>
  <c r="X256" i="50"/>
  <c r="Y256" i="50"/>
  <c r="Z256" i="50"/>
  <c r="AA256" i="50"/>
  <c r="AB256" i="50"/>
  <c r="AC256" i="50"/>
  <c r="AD256" i="50"/>
  <c r="AE256" i="50"/>
  <c r="AE292" i="50" s="1"/>
  <c r="AF256" i="50"/>
  <c r="AG256" i="50"/>
  <c r="AH256" i="50"/>
  <c r="AI256" i="50"/>
  <c r="AJ256" i="50"/>
  <c r="AK256" i="50"/>
  <c r="AL256" i="50"/>
  <c r="AM256" i="50"/>
  <c r="AM292" i="50" s="1"/>
  <c r="AN256" i="50"/>
  <c r="AO256" i="50"/>
  <c r="AP256" i="50"/>
  <c r="AQ256" i="50"/>
  <c r="AR256" i="50"/>
  <c r="AS256" i="50"/>
  <c r="AT256" i="50"/>
  <c r="I4" i="50"/>
  <c r="I5" i="50"/>
  <c r="I6" i="50"/>
  <c r="I7" i="50"/>
  <c r="I8" i="50"/>
  <c r="I9" i="50"/>
  <c r="I10" i="50"/>
  <c r="I11" i="50"/>
  <c r="I12" i="50"/>
  <c r="I13" i="50"/>
  <c r="I14" i="50"/>
  <c r="I15" i="50"/>
  <c r="I16" i="50"/>
  <c r="I17" i="50"/>
  <c r="I18" i="50"/>
  <c r="I19" i="50"/>
  <c r="I20" i="50"/>
  <c r="I21" i="50"/>
  <c r="I22" i="50"/>
  <c r="I23" i="50"/>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107" i="50"/>
  <c r="I108" i="50"/>
  <c r="I109" i="50"/>
  <c r="I110" i="50"/>
  <c r="I111" i="50"/>
  <c r="I112" i="50"/>
  <c r="I113" i="50"/>
  <c r="I114" i="50"/>
  <c r="I115" i="50"/>
  <c r="I116" i="50"/>
  <c r="I117" i="50"/>
  <c r="I118" i="50"/>
  <c r="I119" i="50"/>
  <c r="I120" i="50"/>
  <c r="I121" i="50"/>
  <c r="I122" i="50"/>
  <c r="I123" i="50"/>
  <c r="I124" i="50"/>
  <c r="I125" i="50"/>
  <c r="I126" i="50"/>
  <c r="I127" i="50"/>
  <c r="I128" i="50"/>
  <c r="I129" i="50"/>
  <c r="I130" i="50"/>
  <c r="I131" i="50"/>
  <c r="I132" i="50"/>
  <c r="I133" i="50"/>
  <c r="I134" i="50"/>
  <c r="I135" i="50"/>
  <c r="I136" i="50"/>
  <c r="I137" i="50"/>
  <c r="I138" i="50"/>
  <c r="I139" i="50"/>
  <c r="I140" i="50"/>
  <c r="I141" i="50"/>
  <c r="I142" i="50"/>
  <c r="I143" i="50"/>
  <c r="I144" i="50"/>
  <c r="I145" i="50"/>
  <c r="I146" i="50"/>
  <c r="I147" i="50"/>
  <c r="I148" i="50"/>
  <c r="I149" i="50"/>
  <c r="I150" i="50"/>
  <c r="I151" i="50"/>
  <c r="I152" i="50"/>
  <c r="I153" i="50"/>
  <c r="I154" i="50"/>
  <c r="I155" i="50"/>
  <c r="I156" i="50"/>
  <c r="I157" i="50"/>
  <c r="I158" i="50"/>
  <c r="I159" i="50"/>
  <c r="I160" i="50"/>
  <c r="I161" i="50"/>
  <c r="I162" i="50"/>
  <c r="I163" i="50"/>
  <c r="I164" i="50"/>
  <c r="I165" i="50"/>
  <c r="I166" i="50"/>
  <c r="I167" i="50"/>
  <c r="I168" i="50"/>
  <c r="I169" i="50"/>
  <c r="I170" i="50"/>
  <c r="I171" i="50"/>
  <c r="I172" i="50"/>
  <c r="I173" i="50"/>
  <c r="I174" i="50"/>
  <c r="I175" i="50"/>
  <c r="I176" i="50"/>
  <c r="I177" i="50"/>
  <c r="I178" i="50"/>
  <c r="I179" i="50"/>
  <c r="I180" i="50"/>
  <c r="I181" i="50"/>
  <c r="I182" i="50"/>
  <c r="I183" i="50"/>
  <c r="I184" i="50"/>
  <c r="I185" i="50"/>
  <c r="I186" i="50"/>
  <c r="I187" i="50"/>
  <c r="I188" i="50"/>
  <c r="I189" i="50"/>
  <c r="I190" i="50"/>
  <c r="I191" i="50"/>
  <c r="I192" i="50"/>
  <c r="I193" i="50"/>
  <c r="I194" i="50"/>
  <c r="I195" i="50"/>
  <c r="I196" i="50"/>
  <c r="I197" i="50"/>
  <c r="I198" i="50"/>
  <c r="I199" i="50"/>
  <c r="I200" i="50"/>
  <c r="I201" i="50"/>
  <c r="I202" i="50"/>
  <c r="I203" i="50"/>
  <c r="I204" i="50"/>
  <c r="I205" i="50"/>
  <c r="I206" i="50"/>
  <c r="I207" i="50"/>
  <c r="I208" i="50"/>
  <c r="I209" i="50"/>
  <c r="I210" i="50"/>
  <c r="I211" i="50"/>
  <c r="I212" i="50"/>
  <c r="I213" i="50"/>
  <c r="I214" i="50"/>
  <c r="I215" i="50"/>
  <c r="I216" i="50"/>
  <c r="I217" i="50"/>
  <c r="I218" i="50"/>
  <c r="I219" i="50"/>
  <c r="I220" i="50"/>
  <c r="I221" i="50"/>
  <c r="I222" i="50"/>
  <c r="I223" i="50"/>
  <c r="I224" i="50"/>
  <c r="I225" i="50"/>
  <c r="I226" i="50"/>
  <c r="I227" i="50"/>
  <c r="I228" i="50"/>
  <c r="I229" i="50"/>
  <c r="I230" i="50"/>
  <c r="I231" i="50"/>
  <c r="I232" i="50"/>
  <c r="I233" i="50"/>
  <c r="I234" i="50"/>
  <c r="I235" i="50"/>
  <c r="I236" i="50"/>
  <c r="I237" i="50"/>
  <c r="I238" i="50"/>
  <c r="I239" i="50"/>
  <c r="I240" i="50"/>
  <c r="I241" i="50"/>
  <c r="I242" i="50"/>
  <c r="I243" i="50"/>
  <c r="I244" i="50"/>
  <c r="I245" i="50"/>
  <c r="I246" i="50"/>
  <c r="I247" i="50"/>
  <c r="I248" i="50"/>
  <c r="I249" i="50"/>
  <c r="I250" i="50"/>
  <c r="I251" i="50"/>
  <c r="I252" i="50"/>
  <c r="I253" i="50"/>
  <c r="I254" i="50"/>
  <c r="I255" i="50"/>
  <c r="G4" i="50"/>
  <c r="G5" i="50"/>
  <c r="G6" i="50"/>
  <c r="G7" i="50"/>
  <c r="G8" i="50"/>
  <c r="G9" i="50"/>
  <c r="G10" i="50"/>
  <c r="G11" i="50"/>
  <c r="E11" i="50" s="1"/>
  <c r="F11" i="50" s="1"/>
  <c r="G12" i="50"/>
  <c r="G13" i="50"/>
  <c r="G14" i="50"/>
  <c r="G15" i="50"/>
  <c r="G16" i="50"/>
  <c r="G17" i="50"/>
  <c r="G18" i="50"/>
  <c r="G19" i="50"/>
  <c r="E19" i="50" s="1"/>
  <c r="F19" i="50" s="1"/>
  <c r="G20" i="50"/>
  <c r="G21" i="50"/>
  <c r="G22" i="50"/>
  <c r="G23" i="50"/>
  <c r="G24" i="50"/>
  <c r="G25" i="50"/>
  <c r="G26" i="50"/>
  <c r="G27" i="50"/>
  <c r="E27" i="50" s="1"/>
  <c r="F27" i="50" s="1"/>
  <c r="G28" i="50"/>
  <c r="G29" i="50"/>
  <c r="G30" i="50"/>
  <c r="G31" i="50"/>
  <c r="G32" i="50"/>
  <c r="G33" i="50"/>
  <c r="G34" i="50"/>
  <c r="G35" i="50"/>
  <c r="E35" i="50" s="1"/>
  <c r="F35" i="50" s="1"/>
  <c r="G36" i="50"/>
  <c r="G37" i="50"/>
  <c r="G38" i="50"/>
  <c r="G39" i="50"/>
  <c r="G40" i="50"/>
  <c r="G41" i="50"/>
  <c r="G42" i="50"/>
  <c r="G43" i="50"/>
  <c r="E43" i="50" s="1"/>
  <c r="F43" i="50" s="1"/>
  <c r="G44" i="50"/>
  <c r="G45" i="50"/>
  <c r="G46" i="50"/>
  <c r="G47" i="50"/>
  <c r="G48" i="50"/>
  <c r="G49" i="50"/>
  <c r="G50" i="50"/>
  <c r="G51" i="50"/>
  <c r="E51" i="50" s="1"/>
  <c r="F51" i="50" s="1"/>
  <c r="G52" i="50"/>
  <c r="G53" i="50"/>
  <c r="G54" i="50"/>
  <c r="G55" i="50"/>
  <c r="G56" i="50"/>
  <c r="G57" i="50"/>
  <c r="G58" i="50"/>
  <c r="G59" i="50"/>
  <c r="E59" i="50" s="1"/>
  <c r="F59" i="50" s="1"/>
  <c r="G60" i="50"/>
  <c r="G61" i="50"/>
  <c r="G62" i="50"/>
  <c r="G63" i="50"/>
  <c r="G64" i="50"/>
  <c r="G65" i="50"/>
  <c r="G66" i="50"/>
  <c r="G67" i="50"/>
  <c r="E67" i="50" s="1"/>
  <c r="F67" i="50" s="1"/>
  <c r="G68" i="50"/>
  <c r="G69" i="50"/>
  <c r="G70" i="50"/>
  <c r="G71" i="50"/>
  <c r="G72" i="50"/>
  <c r="G73" i="50"/>
  <c r="G74" i="50"/>
  <c r="G75" i="50"/>
  <c r="E75" i="50" s="1"/>
  <c r="F75" i="50" s="1"/>
  <c r="G76" i="50"/>
  <c r="G77" i="50"/>
  <c r="G78" i="50"/>
  <c r="G79" i="50"/>
  <c r="G80" i="50"/>
  <c r="G81" i="50"/>
  <c r="G82" i="50"/>
  <c r="G83" i="50"/>
  <c r="E83" i="50" s="1"/>
  <c r="F83" i="50" s="1"/>
  <c r="G84" i="50"/>
  <c r="G85" i="50"/>
  <c r="G86" i="50"/>
  <c r="G87" i="50"/>
  <c r="G88" i="50"/>
  <c r="G89" i="50"/>
  <c r="G90" i="50"/>
  <c r="G91" i="50"/>
  <c r="E91" i="50" s="1"/>
  <c r="F91" i="50" s="1"/>
  <c r="G92" i="50"/>
  <c r="G93" i="50"/>
  <c r="G94" i="50"/>
  <c r="G95" i="50"/>
  <c r="G96" i="50"/>
  <c r="G97" i="50"/>
  <c r="G98" i="50"/>
  <c r="G99" i="50"/>
  <c r="E99" i="50" s="1"/>
  <c r="F99" i="50" s="1"/>
  <c r="G100" i="50"/>
  <c r="G101" i="50"/>
  <c r="G102" i="50"/>
  <c r="G103" i="50"/>
  <c r="G104" i="50"/>
  <c r="G105" i="50"/>
  <c r="G106" i="50"/>
  <c r="G107" i="50"/>
  <c r="E107" i="50" s="1"/>
  <c r="F107" i="50" s="1"/>
  <c r="G108" i="50"/>
  <c r="G109" i="50"/>
  <c r="G110" i="50"/>
  <c r="G111" i="50"/>
  <c r="G112" i="50"/>
  <c r="G113" i="50"/>
  <c r="G114" i="50"/>
  <c r="G115" i="50"/>
  <c r="E115" i="50" s="1"/>
  <c r="F115" i="50" s="1"/>
  <c r="G116" i="50"/>
  <c r="G117" i="50"/>
  <c r="G118" i="50"/>
  <c r="G119" i="50"/>
  <c r="G120" i="50"/>
  <c r="G121" i="50"/>
  <c r="G122" i="50"/>
  <c r="G123" i="50"/>
  <c r="E123" i="50" s="1"/>
  <c r="F123" i="50" s="1"/>
  <c r="G124" i="50"/>
  <c r="G125" i="50"/>
  <c r="G126" i="50"/>
  <c r="G127" i="50"/>
  <c r="G128" i="50"/>
  <c r="G129" i="50"/>
  <c r="G130" i="50"/>
  <c r="G131" i="50"/>
  <c r="E131" i="50" s="1"/>
  <c r="F131" i="50" s="1"/>
  <c r="G132" i="50"/>
  <c r="G133" i="50"/>
  <c r="G134" i="50"/>
  <c r="G135" i="50"/>
  <c r="G136" i="50"/>
  <c r="G137" i="50"/>
  <c r="G138" i="50"/>
  <c r="G139" i="50"/>
  <c r="E139" i="50" s="1"/>
  <c r="F139" i="50" s="1"/>
  <c r="G140" i="50"/>
  <c r="G141" i="50"/>
  <c r="G142" i="50"/>
  <c r="G143" i="50"/>
  <c r="G144" i="50"/>
  <c r="G145" i="50"/>
  <c r="G146" i="50"/>
  <c r="G147" i="50"/>
  <c r="E147" i="50" s="1"/>
  <c r="F147" i="50" s="1"/>
  <c r="G148" i="50"/>
  <c r="G149" i="50"/>
  <c r="G150" i="50"/>
  <c r="G151" i="50"/>
  <c r="G152" i="50"/>
  <c r="G153" i="50"/>
  <c r="G154" i="50"/>
  <c r="G155" i="50"/>
  <c r="E155" i="50" s="1"/>
  <c r="F155" i="50" s="1"/>
  <c r="G156" i="50"/>
  <c r="G157" i="50"/>
  <c r="G158" i="50"/>
  <c r="G159" i="50"/>
  <c r="G160" i="50"/>
  <c r="G161" i="50"/>
  <c r="G162" i="50"/>
  <c r="G163" i="50"/>
  <c r="E163" i="50" s="1"/>
  <c r="F163" i="50" s="1"/>
  <c r="G164" i="50"/>
  <c r="G165" i="50"/>
  <c r="G166" i="50"/>
  <c r="G167" i="50"/>
  <c r="G168" i="50"/>
  <c r="G169" i="50"/>
  <c r="G170" i="50"/>
  <c r="G171" i="50"/>
  <c r="E171" i="50" s="1"/>
  <c r="F171" i="50" s="1"/>
  <c r="G172" i="50"/>
  <c r="G173" i="50"/>
  <c r="G174" i="50"/>
  <c r="G175" i="50"/>
  <c r="G176" i="50"/>
  <c r="G177" i="50"/>
  <c r="G178" i="50"/>
  <c r="G179" i="50"/>
  <c r="E179" i="50" s="1"/>
  <c r="F179" i="50" s="1"/>
  <c r="G180" i="50"/>
  <c r="G181" i="50"/>
  <c r="G182" i="50"/>
  <c r="G183" i="50"/>
  <c r="G184" i="50"/>
  <c r="G185" i="50"/>
  <c r="G186" i="50"/>
  <c r="G187" i="50"/>
  <c r="E187" i="50" s="1"/>
  <c r="F187" i="50" s="1"/>
  <c r="G188" i="50"/>
  <c r="G189" i="50"/>
  <c r="G190" i="50"/>
  <c r="G191" i="50"/>
  <c r="G192" i="50"/>
  <c r="G193" i="50"/>
  <c r="G194" i="50"/>
  <c r="G195" i="50"/>
  <c r="E195" i="50" s="1"/>
  <c r="F195" i="50" s="1"/>
  <c r="G196" i="50"/>
  <c r="G197" i="50"/>
  <c r="G198" i="50"/>
  <c r="G199" i="50"/>
  <c r="G200" i="50"/>
  <c r="G201" i="50"/>
  <c r="G202" i="50"/>
  <c r="G203" i="50"/>
  <c r="E203" i="50" s="1"/>
  <c r="F203" i="50" s="1"/>
  <c r="G204" i="50"/>
  <c r="G205" i="50"/>
  <c r="G206" i="50"/>
  <c r="G207" i="50"/>
  <c r="G208" i="50"/>
  <c r="G209" i="50"/>
  <c r="G210" i="50"/>
  <c r="G211" i="50"/>
  <c r="E211" i="50" s="1"/>
  <c r="F211" i="50" s="1"/>
  <c r="G212" i="50"/>
  <c r="G213" i="50"/>
  <c r="G214" i="50"/>
  <c r="G215" i="50"/>
  <c r="G216" i="50"/>
  <c r="G217" i="50"/>
  <c r="G218" i="50"/>
  <c r="G219" i="50"/>
  <c r="E219" i="50" s="1"/>
  <c r="F219" i="50" s="1"/>
  <c r="G220" i="50"/>
  <c r="G221" i="50"/>
  <c r="G222" i="50"/>
  <c r="G223" i="50"/>
  <c r="G224" i="50"/>
  <c r="G225" i="50"/>
  <c r="G226" i="50"/>
  <c r="G227" i="50"/>
  <c r="E227" i="50" s="1"/>
  <c r="F227" i="50" s="1"/>
  <c r="G228" i="50"/>
  <c r="G229" i="50"/>
  <c r="G230" i="50"/>
  <c r="G231" i="50"/>
  <c r="G232" i="50"/>
  <c r="G233" i="50"/>
  <c r="G234" i="50"/>
  <c r="G235" i="50"/>
  <c r="E235" i="50" s="1"/>
  <c r="F235" i="50" s="1"/>
  <c r="G236" i="50"/>
  <c r="G237" i="50"/>
  <c r="G238" i="50"/>
  <c r="G239" i="50"/>
  <c r="G240" i="50"/>
  <c r="G241" i="50"/>
  <c r="G242" i="50"/>
  <c r="G243" i="50"/>
  <c r="E243" i="50" s="1"/>
  <c r="F243" i="50" s="1"/>
  <c r="G244" i="50"/>
  <c r="G245" i="50"/>
  <c r="G246" i="50"/>
  <c r="G247" i="50"/>
  <c r="G248" i="50"/>
  <c r="G249" i="50"/>
  <c r="G250" i="50"/>
  <c r="G251" i="50"/>
  <c r="E251" i="50" s="1"/>
  <c r="F251" i="50" s="1"/>
  <c r="G252" i="50"/>
  <c r="G253" i="50"/>
  <c r="G254" i="50"/>
  <c r="G255" i="50"/>
  <c r="F18" i="50"/>
  <c r="F50" i="50"/>
  <c r="F82" i="50"/>
  <c r="F114" i="50"/>
  <c r="F146" i="50"/>
  <c r="F178" i="50"/>
  <c r="F210" i="50"/>
  <c r="F242" i="50"/>
  <c r="E4" i="50"/>
  <c r="F4" i="50" s="1"/>
  <c r="E5" i="50"/>
  <c r="F5" i="50" s="1"/>
  <c r="E6" i="50"/>
  <c r="F6" i="50" s="1"/>
  <c r="E7" i="50"/>
  <c r="F7" i="50" s="1"/>
  <c r="E8" i="50"/>
  <c r="F8" i="50" s="1"/>
  <c r="E9" i="50"/>
  <c r="F9" i="50" s="1"/>
  <c r="E10" i="50"/>
  <c r="F10" i="50" s="1"/>
  <c r="E12" i="50"/>
  <c r="F12" i="50" s="1"/>
  <c r="E13" i="50"/>
  <c r="F13" i="50" s="1"/>
  <c r="E14" i="50"/>
  <c r="F14" i="50" s="1"/>
  <c r="E15" i="50"/>
  <c r="F15" i="50" s="1"/>
  <c r="E16" i="50"/>
  <c r="F16" i="50" s="1"/>
  <c r="E17" i="50"/>
  <c r="F17" i="50" s="1"/>
  <c r="E18" i="50"/>
  <c r="E20" i="50"/>
  <c r="F20" i="50" s="1"/>
  <c r="E21" i="50"/>
  <c r="F21" i="50" s="1"/>
  <c r="E22" i="50"/>
  <c r="F22" i="50" s="1"/>
  <c r="E23" i="50"/>
  <c r="F23" i="50" s="1"/>
  <c r="E24" i="50"/>
  <c r="F24" i="50" s="1"/>
  <c r="E25" i="50"/>
  <c r="F25" i="50" s="1"/>
  <c r="E26" i="50"/>
  <c r="F26" i="50" s="1"/>
  <c r="E28" i="50"/>
  <c r="F28" i="50" s="1"/>
  <c r="E29" i="50"/>
  <c r="F29" i="50" s="1"/>
  <c r="E30" i="50"/>
  <c r="F30" i="50" s="1"/>
  <c r="E31" i="50"/>
  <c r="F31" i="50" s="1"/>
  <c r="E32" i="50"/>
  <c r="F32" i="50" s="1"/>
  <c r="E33" i="50"/>
  <c r="F33" i="50" s="1"/>
  <c r="E34" i="50"/>
  <c r="F34" i="50" s="1"/>
  <c r="E36" i="50"/>
  <c r="F36" i="50" s="1"/>
  <c r="E37" i="50"/>
  <c r="F37" i="50" s="1"/>
  <c r="E38" i="50"/>
  <c r="F38" i="50" s="1"/>
  <c r="E39" i="50"/>
  <c r="F39" i="50" s="1"/>
  <c r="E40" i="50"/>
  <c r="F40" i="50" s="1"/>
  <c r="E41" i="50"/>
  <c r="F41" i="50" s="1"/>
  <c r="E42" i="50"/>
  <c r="F42" i="50" s="1"/>
  <c r="E44" i="50"/>
  <c r="F44" i="50" s="1"/>
  <c r="E45" i="50"/>
  <c r="F45" i="50" s="1"/>
  <c r="E46" i="50"/>
  <c r="F46" i="50" s="1"/>
  <c r="E47" i="50"/>
  <c r="F47" i="50" s="1"/>
  <c r="E48" i="50"/>
  <c r="F48" i="50" s="1"/>
  <c r="E49" i="50"/>
  <c r="F49" i="50" s="1"/>
  <c r="E50" i="50"/>
  <c r="E52" i="50"/>
  <c r="F52" i="50" s="1"/>
  <c r="E53" i="50"/>
  <c r="F53" i="50" s="1"/>
  <c r="E54" i="50"/>
  <c r="F54" i="50" s="1"/>
  <c r="E55" i="50"/>
  <c r="F55" i="50" s="1"/>
  <c r="E56" i="50"/>
  <c r="F56" i="50" s="1"/>
  <c r="E57" i="50"/>
  <c r="F57" i="50" s="1"/>
  <c r="E58" i="50"/>
  <c r="F58" i="50" s="1"/>
  <c r="E60" i="50"/>
  <c r="F60" i="50" s="1"/>
  <c r="E61" i="50"/>
  <c r="F61" i="50" s="1"/>
  <c r="E62" i="50"/>
  <c r="F62" i="50" s="1"/>
  <c r="E63" i="50"/>
  <c r="F63" i="50" s="1"/>
  <c r="E64" i="50"/>
  <c r="F64" i="50" s="1"/>
  <c r="E65" i="50"/>
  <c r="F65" i="50" s="1"/>
  <c r="E66" i="50"/>
  <c r="F66" i="50" s="1"/>
  <c r="E68" i="50"/>
  <c r="F68" i="50" s="1"/>
  <c r="E69" i="50"/>
  <c r="F69" i="50" s="1"/>
  <c r="E70" i="50"/>
  <c r="F70" i="50" s="1"/>
  <c r="E71" i="50"/>
  <c r="F71" i="50" s="1"/>
  <c r="E72" i="50"/>
  <c r="F72" i="50" s="1"/>
  <c r="E73" i="50"/>
  <c r="F73" i="50" s="1"/>
  <c r="E74" i="50"/>
  <c r="F74" i="50" s="1"/>
  <c r="E76" i="50"/>
  <c r="F76" i="50" s="1"/>
  <c r="E77" i="50"/>
  <c r="F77" i="50" s="1"/>
  <c r="E78" i="50"/>
  <c r="F78" i="50" s="1"/>
  <c r="E79" i="50"/>
  <c r="F79" i="50" s="1"/>
  <c r="E80" i="50"/>
  <c r="F80" i="50" s="1"/>
  <c r="E81" i="50"/>
  <c r="F81" i="50" s="1"/>
  <c r="E82" i="50"/>
  <c r="E84" i="50"/>
  <c r="F84" i="50" s="1"/>
  <c r="E85" i="50"/>
  <c r="F85" i="50" s="1"/>
  <c r="E86" i="50"/>
  <c r="F86" i="50" s="1"/>
  <c r="E87" i="50"/>
  <c r="F87" i="50" s="1"/>
  <c r="E88" i="50"/>
  <c r="F88" i="50" s="1"/>
  <c r="E89" i="50"/>
  <c r="F89" i="50" s="1"/>
  <c r="E90" i="50"/>
  <c r="F90" i="50" s="1"/>
  <c r="E92" i="50"/>
  <c r="F92" i="50" s="1"/>
  <c r="E93" i="50"/>
  <c r="F93" i="50" s="1"/>
  <c r="E94" i="50"/>
  <c r="F94" i="50" s="1"/>
  <c r="E95" i="50"/>
  <c r="F95" i="50" s="1"/>
  <c r="E96" i="50"/>
  <c r="F96" i="50" s="1"/>
  <c r="E97" i="50"/>
  <c r="F97" i="50" s="1"/>
  <c r="E98" i="50"/>
  <c r="F98" i="50" s="1"/>
  <c r="E100" i="50"/>
  <c r="F100" i="50" s="1"/>
  <c r="E101" i="50"/>
  <c r="F101" i="50" s="1"/>
  <c r="E102" i="50"/>
  <c r="F102" i="50" s="1"/>
  <c r="E103" i="50"/>
  <c r="F103" i="50" s="1"/>
  <c r="E104" i="50"/>
  <c r="F104" i="50" s="1"/>
  <c r="E105" i="50"/>
  <c r="F105" i="50" s="1"/>
  <c r="E106" i="50"/>
  <c r="F106" i="50" s="1"/>
  <c r="E108" i="50"/>
  <c r="F108" i="50" s="1"/>
  <c r="E109" i="50"/>
  <c r="F109" i="50" s="1"/>
  <c r="E110" i="50"/>
  <c r="F110" i="50" s="1"/>
  <c r="E111" i="50"/>
  <c r="F111" i="50" s="1"/>
  <c r="E112" i="50"/>
  <c r="F112" i="50" s="1"/>
  <c r="E113" i="50"/>
  <c r="F113" i="50" s="1"/>
  <c r="E114" i="50"/>
  <c r="E116" i="50"/>
  <c r="F116" i="50" s="1"/>
  <c r="E117" i="50"/>
  <c r="F117" i="50" s="1"/>
  <c r="E118" i="50"/>
  <c r="F118" i="50" s="1"/>
  <c r="E119" i="50"/>
  <c r="F119" i="50" s="1"/>
  <c r="E120" i="50"/>
  <c r="F120" i="50" s="1"/>
  <c r="E121" i="50"/>
  <c r="F121" i="50" s="1"/>
  <c r="E122" i="50"/>
  <c r="F122" i="50" s="1"/>
  <c r="E124" i="50"/>
  <c r="F124" i="50" s="1"/>
  <c r="E125" i="50"/>
  <c r="F125" i="50" s="1"/>
  <c r="E126" i="50"/>
  <c r="F126" i="50" s="1"/>
  <c r="E127" i="50"/>
  <c r="F127" i="50" s="1"/>
  <c r="E128" i="50"/>
  <c r="F128" i="50" s="1"/>
  <c r="E129" i="50"/>
  <c r="F129" i="50" s="1"/>
  <c r="E130" i="50"/>
  <c r="F130" i="50" s="1"/>
  <c r="E132" i="50"/>
  <c r="F132" i="50" s="1"/>
  <c r="E133" i="50"/>
  <c r="F133" i="50" s="1"/>
  <c r="E134" i="50"/>
  <c r="F134" i="50" s="1"/>
  <c r="E135" i="50"/>
  <c r="F135" i="50" s="1"/>
  <c r="E136" i="50"/>
  <c r="F136" i="50" s="1"/>
  <c r="E137" i="50"/>
  <c r="F137" i="50" s="1"/>
  <c r="E138" i="50"/>
  <c r="F138" i="50" s="1"/>
  <c r="E140" i="50"/>
  <c r="F140" i="50" s="1"/>
  <c r="E141" i="50"/>
  <c r="F141" i="50" s="1"/>
  <c r="E142" i="50"/>
  <c r="F142" i="50" s="1"/>
  <c r="E143" i="50"/>
  <c r="F143" i="50" s="1"/>
  <c r="E144" i="50"/>
  <c r="F144" i="50" s="1"/>
  <c r="E145" i="50"/>
  <c r="F145" i="50" s="1"/>
  <c r="E146" i="50"/>
  <c r="E148" i="50"/>
  <c r="F148" i="50" s="1"/>
  <c r="E149" i="50"/>
  <c r="F149" i="50" s="1"/>
  <c r="E150" i="50"/>
  <c r="F150" i="50" s="1"/>
  <c r="E151" i="50"/>
  <c r="F151" i="50" s="1"/>
  <c r="E152" i="50"/>
  <c r="F152" i="50" s="1"/>
  <c r="E153" i="50"/>
  <c r="F153" i="50" s="1"/>
  <c r="E154" i="50"/>
  <c r="F154" i="50" s="1"/>
  <c r="E156" i="50"/>
  <c r="F156" i="50" s="1"/>
  <c r="E157" i="50"/>
  <c r="F157" i="50" s="1"/>
  <c r="E158" i="50"/>
  <c r="F158" i="50" s="1"/>
  <c r="E159" i="50"/>
  <c r="F159" i="50" s="1"/>
  <c r="E160" i="50"/>
  <c r="F160" i="50" s="1"/>
  <c r="E161" i="50"/>
  <c r="F161" i="50" s="1"/>
  <c r="E162" i="50"/>
  <c r="F162" i="50" s="1"/>
  <c r="E164" i="50"/>
  <c r="F164" i="50" s="1"/>
  <c r="E165" i="50"/>
  <c r="F165" i="50" s="1"/>
  <c r="E166" i="50"/>
  <c r="F166" i="50" s="1"/>
  <c r="E167" i="50"/>
  <c r="F167" i="50" s="1"/>
  <c r="E168" i="50"/>
  <c r="F168" i="50" s="1"/>
  <c r="E169" i="50"/>
  <c r="F169" i="50" s="1"/>
  <c r="E170" i="50"/>
  <c r="F170" i="50" s="1"/>
  <c r="E172" i="50"/>
  <c r="F172" i="50" s="1"/>
  <c r="E173" i="50"/>
  <c r="F173" i="50" s="1"/>
  <c r="E174" i="50"/>
  <c r="F174" i="50" s="1"/>
  <c r="E175" i="50"/>
  <c r="F175" i="50" s="1"/>
  <c r="E176" i="50"/>
  <c r="F176" i="50" s="1"/>
  <c r="E177" i="50"/>
  <c r="F177" i="50" s="1"/>
  <c r="E178" i="50"/>
  <c r="E180" i="50"/>
  <c r="F180" i="50" s="1"/>
  <c r="E181" i="50"/>
  <c r="F181" i="50" s="1"/>
  <c r="E182" i="50"/>
  <c r="F182" i="50" s="1"/>
  <c r="E183" i="50"/>
  <c r="F183" i="50" s="1"/>
  <c r="E184" i="50"/>
  <c r="F184" i="50" s="1"/>
  <c r="E185" i="50"/>
  <c r="F185" i="50" s="1"/>
  <c r="E186" i="50"/>
  <c r="F186" i="50" s="1"/>
  <c r="E188" i="50"/>
  <c r="F188" i="50" s="1"/>
  <c r="E189" i="50"/>
  <c r="F189" i="50" s="1"/>
  <c r="E190" i="50"/>
  <c r="F190" i="50" s="1"/>
  <c r="E191" i="50"/>
  <c r="F191" i="50" s="1"/>
  <c r="E192" i="50"/>
  <c r="F192" i="50" s="1"/>
  <c r="E193" i="50"/>
  <c r="F193" i="50" s="1"/>
  <c r="E194" i="50"/>
  <c r="F194" i="50" s="1"/>
  <c r="E196" i="50"/>
  <c r="F196" i="50" s="1"/>
  <c r="E197" i="50"/>
  <c r="F197" i="50" s="1"/>
  <c r="E198" i="50"/>
  <c r="F198" i="50" s="1"/>
  <c r="E199" i="50"/>
  <c r="F199" i="50" s="1"/>
  <c r="E200" i="50"/>
  <c r="F200" i="50" s="1"/>
  <c r="E201" i="50"/>
  <c r="F201" i="50" s="1"/>
  <c r="E202" i="50"/>
  <c r="F202" i="50" s="1"/>
  <c r="E204" i="50"/>
  <c r="F204" i="50" s="1"/>
  <c r="E205" i="50"/>
  <c r="F205" i="50" s="1"/>
  <c r="E206" i="50"/>
  <c r="F206" i="50" s="1"/>
  <c r="E207" i="50"/>
  <c r="F207" i="50" s="1"/>
  <c r="E208" i="50"/>
  <c r="F208" i="50" s="1"/>
  <c r="E209" i="50"/>
  <c r="F209" i="50" s="1"/>
  <c r="E210" i="50"/>
  <c r="E212" i="50"/>
  <c r="F212" i="50" s="1"/>
  <c r="E213" i="50"/>
  <c r="F213" i="50" s="1"/>
  <c r="E214" i="50"/>
  <c r="F214" i="50" s="1"/>
  <c r="E215" i="50"/>
  <c r="F215" i="50" s="1"/>
  <c r="E216" i="50"/>
  <c r="F216" i="50" s="1"/>
  <c r="E217" i="50"/>
  <c r="F217" i="50" s="1"/>
  <c r="E218" i="50"/>
  <c r="F218" i="50" s="1"/>
  <c r="E220" i="50"/>
  <c r="F220" i="50" s="1"/>
  <c r="E221" i="50"/>
  <c r="F221" i="50" s="1"/>
  <c r="E222" i="50"/>
  <c r="F222" i="50" s="1"/>
  <c r="E223" i="50"/>
  <c r="F223" i="50" s="1"/>
  <c r="E224" i="50"/>
  <c r="F224" i="50" s="1"/>
  <c r="E225" i="50"/>
  <c r="F225" i="50" s="1"/>
  <c r="E226" i="50"/>
  <c r="F226" i="50" s="1"/>
  <c r="E228" i="50"/>
  <c r="F228" i="50" s="1"/>
  <c r="E229" i="50"/>
  <c r="F229" i="50" s="1"/>
  <c r="E230" i="50"/>
  <c r="F230" i="50" s="1"/>
  <c r="E231" i="50"/>
  <c r="F231" i="50" s="1"/>
  <c r="E232" i="50"/>
  <c r="F232" i="50" s="1"/>
  <c r="E233" i="50"/>
  <c r="F233" i="50" s="1"/>
  <c r="E234" i="50"/>
  <c r="F234" i="50" s="1"/>
  <c r="E236" i="50"/>
  <c r="F236" i="50" s="1"/>
  <c r="E237" i="50"/>
  <c r="F237" i="50" s="1"/>
  <c r="E238" i="50"/>
  <c r="F238" i="50" s="1"/>
  <c r="E239" i="50"/>
  <c r="F239" i="50" s="1"/>
  <c r="E240" i="50"/>
  <c r="F240" i="50" s="1"/>
  <c r="E241" i="50"/>
  <c r="F241" i="50" s="1"/>
  <c r="E242" i="50"/>
  <c r="E244" i="50"/>
  <c r="F244" i="50" s="1"/>
  <c r="E245" i="50"/>
  <c r="F245" i="50" s="1"/>
  <c r="E246" i="50"/>
  <c r="F246" i="50" s="1"/>
  <c r="E247" i="50"/>
  <c r="F247" i="50" s="1"/>
  <c r="E248" i="50"/>
  <c r="F248" i="50" s="1"/>
  <c r="E249" i="50"/>
  <c r="F249" i="50" s="1"/>
  <c r="E250" i="50"/>
  <c r="F250" i="50" s="1"/>
  <c r="E252" i="50"/>
  <c r="F252" i="50" s="1"/>
  <c r="E253" i="50"/>
  <c r="F253" i="50" s="1"/>
  <c r="E254" i="50"/>
  <c r="F254" i="50" s="1"/>
  <c r="E255" i="50"/>
  <c r="F255" i="50" s="1"/>
  <c r="K292" i="50"/>
  <c r="Q292" i="50"/>
  <c r="S292" i="50"/>
  <c r="U292" i="50"/>
  <c r="Z292" i="50"/>
  <c r="AA292" i="50"/>
  <c r="AC292" i="50"/>
  <c r="AG292" i="50"/>
  <c r="AH292" i="50"/>
  <c r="AI292" i="50"/>
  <c r="AO292" i="50"/>
  <c r="AP292" i="50"/>
  <c r="AQ292" i="50"/>
  <c r="AS292" i="50"/>
  <c r="L292" i="50"/>
  <c r="P292" i="50"/>
  <c r="R292" i="50"/>
  <c r="Y292" i="50"/>
  <c r="AB292" i="50"/>
  <c r="AJ292" i="50"/>
  <c r="AR292" i="50"/>
  <c r="M292" i="50"/>
  <c r="N292" i="50"/>
  <c r="T292" i="50"/>
  <c r="V292" i="50"/>
  <c r="X292" i="50"/>
  <c r="AD292" i="50"/>
  <c r="AF292" i="50"/>
  <c r="AK292" i="50"/>
  <c r="AL292" i="50"/>
  <c r="AN292" i="50"/>
  <c r="AT292" i="50"/>
  <c r="G15" i="45"/>
  <c r="C18" i="48"/>
  <c r="C11" i="48"/>
  <c r="C16" i="48"/>
  <c r="C15" i="48"/>
  <c r="C14" i="48"/>
  <c r="C13" i="48"/>
  <c r="C12" i="48"/>
  <c r="D69" i="32"/>
  <c r="D66" i="32"/>
  <c r="D67" i="32"/>
  <c r="D68" i="32"/>
  <c r="D70" i="32" l="1"/>
  <c r="M150" i="48"/>
  <c r="N150" i="48"/>
  <c r="O150" i="48"/>
  <c r="P150" i="48"/>
  <c r="Q150" i="48"/>
  <c r="R150" i="48"/>
  <c r="S150" i="48"/>
  <c r="T150" i="48"/>
  <c r="U150" i="48"/>
  <c r="V150" i="48"/>
  <c r="W150" i="48"/>
  <c r="X150" i="48"/>
  <c r="Y150" i="48"/>
  <c r="Z150" i="48"/>
  <c r="AA150" i="48"/>
  <c r="AB150" i="48"/>
  <c r="AC150" i="48"/>
  <c r="AD150" i="48"/>
  <c r="AE150" i="48"/>
  <c r="AF150" i="48"/>
  <c r="AG150" i="48"/>
  <c r="AH150" i="48"/>
  <c r="AI150" i="48"/>
  <c r="AJ150" i="48"/>
  <c r="AK150" i="48"/>
  <c r="AL150" i="48"/>
  <c r="AM150" i="48"/>
  <c r="AN150" i="48"/>
  <c r="AO150" i="48"/>
  <c r="AP150" i="48"/>
  <c r="AQ150" i="48"/>
  <c r="AR150" i="48"/>
  <c r="AS150" i="48"/>
  <c r="AT150" i="48"/>
  <c r="L150" i="48"/>
  <c r="K150" i="48"/>
  <c r="B22" i="44" a="1"/>
  <c r="B22" i="44" s="1"/>
  <c r="G10" i="48"/>
  <c r="E10" i="48" s="1"/>
  <c r="G11" i="48"/>
  <c r="E11" i="48" s="1"/>
  <c r="G12" i="48"/>
  <c r="E12" i="48" s="1"/>
  <c r="F12" i="48" s="1"/>
  <c r="G13" i="48"/>
  <c r="G14" i="48"/>
  <c r="E14" i="48" s="1"/>
  <c r="F14" i="48" s="1"/>
  <c r="G15" i="48"/>
  <c r="E15" i="48" s="1"/>
  <c r="F15" i="48" s="1"/>
  <c r="G16" i="48"/>
  <c r="E16" i="48" s="1"/>
  <c r="F16" i="48" s="1"/>
  <c r="G17" i="48"/>
  <c r="E17" i="48" s="1"/>
  <c r="F17" i="48" s="1"/>
  <c r="G18" i="48"/>
  <c r="E18" i="48" s="1"/>
  <c r="G19" i="48"/>
  <c r="E19" i="48" s="1"/>
  <c r="F19" i="48" s="1"/>
  <c r="G20" i="48"/>
  <c r="E20" i="48" s="1"/>
  <c r="F20" i="48" s="1"/>
  <c r="G21" i="48"/>
  <c r="E21" i="48" s="1"/>
  <c r="F21" i="48" s="1"/>
  <c r="G22" i="48"/>
  <c r="E22" i="48" s="1"/>
  <c r="F22" i="48" s="1"/>
  <c r="G23" i="48"/>
  <c r="E23" i="48" s="1"/>
  <c r="F23" i="48" s="1"/>
  <c r="G24" i="48"/>
  <c r="E24" i="48" s="1"/>
  <c r="F24" i="48" s="1"/>
  <c r="G25" i="48"/>
  <c r="E25" i="48" s="1"/>
  <c r="F25" i="48" s="1"/>
  <c r="G26" i="48"/>
  <c r="E26" i="48" s="1"/>
  <c r="F26" i="48" s="1"/>
  <c r="G27" i="48"/>
  <c r="E27" i="48" s="1"/>
  <c r="F27" i="48" s="1"/>
  <c r="G28" i="48"/>
  <c r="E28" i="48" s="1"/>
  <c r="I28" i="48" s="1"/>
  <c r="G29" i="48"/>
  <c r="E29" i="48" s="1"/>
  <c r="F29" i="48" s="1"/>
  <c r="G30" i="48"/>
  <c r="E30" i="48" s="1"/>
  <c r="F30" i="48" s="1"/>
  <c r="G31" i="48"/>
  <c r="E31" i="48" s="1"/>
  <c r="I31" i="48" s="1"/>
  <c r="G32" i="48"/>
  <c r="E32" i="48" s="1"/>
  <c r="F32" i="48" s="1"/>
  <c r="G33" i="48"/>
  <c r="E33" i="48" s="1"/>
  <c r="F33" i="48" s="1"/>
  <c r="G34" i="48"/>
  <c r="E34" i="48" s="1"/>
  <c r="F34" i="48" s="1"/>
  <c r="G35" i="48"/>
  <c r="E35" i="48" s="1"/>
  <c r="G36" i="48"/>
  <c r="E36" i="48" s="1"/>
  <c r="F36" i="48" s="1"/>
  <c r="G37" i="48"/>
  <c r="E37" i="48" s="1"/>
  <c r="F37" i="48" s="1"/>
  <c r="G38" i="48"/>
  <c r="E38" i="48" s="1"/>
  <c r="G39" i="48"/>
  <c r="E39" i="48" s="1"/>
  <c r="F39" i="48" s="1"/>
  <c r="G40" i="48"/>
  <c r="E40" i="48" s="1"/>
  <c r="F40" i="48" s="1"/>
  <c r="G41" i="48"/>
  <c r="E41" i="48" s="1"/>
  <c r="F41" i="48" s="1"/>
  <c r="G42" i="48"/>
  <c r="E42" i="48" s="1"/>
  <c r="F42" i="48" s="1"/>
  <c r="G43" i="48"/>
  <c r="E43" i="48" s="1"/>
  <c r="G44" i="48"/>
  <c r="E44" i="48" s="1"/>
  <c r="F44" i="48" s="1"/>
  <c r="G45" i="48"/>
  <c r="E45" i="48" s="1"/>
  <c r="F45" i="48" s="1"/>
  <c r="G46" i="48"/>
  <c r="G47" i="48"/>
  <c r="E47" i="48" s="1"/>
  <c r="I47" i="48" s="1"/>
  <c r="G48" i="48"/>
  <c r="E48" i="48" s="1"/>
  <c r="F48" i="48" s="1"/>
  <c r="G49" i="48"/>
  <c r="E49" i="48" s="1"/>
  <c r="F49" i="48" s="1"/>
  <c r="G50" i="48"/>
  <c r="E50" i="48" s="1"/>
  <c r="F50" i="48" s="1"/>
  <c r="G51" i="48"/>
  <c r="E51" i="48" s="1"/>
  <c r="G52" i="48"/>
  <c r="E52" i="48" s="1"/>
  <c r="F52" i="48" s="1"/>
  <c r="G53" i="48"/>
  <c r="E53" i="48" s="1"/>
  <c r="F53" i="48" s="1"/>
  <c r="G54" i="48"/>
  <c r="E54" i="48" s="1"/>
  <c r="F54" i="48" s="1"/>
  <c r="G55" i="48"/>
  <c r="E55" i="48" s="1"/>
  <c r="F55" i="48" s="1"/>
  <c r="G56" i="48"/>
  <c r="E56" i="48" s="1"/>
  <c r="F56" i="48" s="1"/>
  <c r="G57" i="48"/>
  <c r="E57" i="48" s="1"/>
  <c r="F57" i="48" s="1"/>
  <c r="G58" i="48"/>
  <c r="E58" i="48" s="1"/>
  <c r="F58" i="48" s="1"/>
  <c r="G59" i="48"/>
  <c r="E59" i="48" s="1"/>
  <c r="G60" i="48"/>
  <c r="E60" i="48" s="1"/>
  <c r="F60" i="48" s="1"/>
  <c r="G61" i="48"/>
  <c r="E61" i="48" s="1"/>
  <c r="F61" i="48" s="1"/>
  <c r="G62" i="48"/>
  <c r="E62" i="48" s="1"/>
  <c r="F62" i="48" s="1"/>
  <c r="G63" i="48"/>
  <c r="E63" i="48" s="1"/>
  <c r="I63" i="48" s="1"/>
  <c r="G64" i="48"/>
  <c r="E64" i="48" s="1"/>
  <c r="F64" i="48" s="1"/>
  <c r="G65" i="48"/>
  <c r="E65" i="48" s="1"/>
  <c r="F65" i="48" s="1"/>
  <c r="G66" i="48"/>
  <c r="E66" i="48" s="1"/>
  <c r="F66" i="48" s="1"/>
  <c r="G67" i="48"/>
  <c r="E67" i="48" s="1"/>
  <c r="F67" i="48" s="1"/>
  <c r="G68" i="48"/>
  <c r="E68" i="48" s="1"/>
  <c r="F68" i="48" s="1"/>
  <c r="G69" i="48"/>
  <c r="E69" i="48" s="1"/>
  <c r="F69" i="48" s="1"/>
  <c r="G70" i="48"/>
  <c r="E70" i="48" s="1"/>
  <c r="F70" i="48" s="1"/>
  <c r="G71" i="48"/>
  <c r="E71" i="48" s="1"/>
  <c r="F71" i="48" s="1"/>
  <c r="G72" i="48"/>
  <c r="E72" i="48" s="1"/>
  <c r="F72" i="48" s="1"/>
  <c r="G73" i="48"/>
  <c r="E73" i="48" s="1"/>
  <c r="F73" i="48" s="1"/>
  <c r="G74" i="48"/>
  <c r="E74" i="48" s="1"/>
  <c r="F74" i="48" s="1"/>
  <c r="G75" i="48"/>
  <c r="E75" i="48" s="1"/>
  <c r="G76" i="48"/>
  <c r="E76" i="48" s="1"/>
  <c r="F76" i="48" s="1"/>
  <c r="G77" i="48"/>
  <c r="E77" i="48" s="1"/>
  <c r="F77" i="48" s="1"/>
  <c r="G78" i="48"/>
  <c r="E78" i="48" s="1"/>
  <c r="G79" i="48"/>
  <c r="E79" i="48" s="1"/>
  <c r="F79" i="48" s="1"/>
  <c r="G80" i="48"/>
  <c r="E80" i="48" s="1"/>
  <c r="F80" i="48" s="1"/>
  <c r="G81" i="48"/>
  <c r="E81" i="48" s="1"/>
  <c r="F81" i="48" s="1"/>
  <c r="G82" i="48"/>
  <c r="E82" i="48" s="1"/>
  <c r="F82" i="48" s="1"/>
  <c r="G83" i="48"/>
  <c r="E83" i="48" s="1"/>
  <c r="F83" i="48" s="1"/>
  <c r="G84" i="48"/>
  <c r="E84" i="48" s="1"/>
  <c r="F84" i="48" s="1"/>
  <c r="G85" i="48"/>
  <c r="E85" i="48" s="1"/>
  <c r="F85" i="48" s="1"/>
  <c r="G86" i="48"/>
  <c r="E86" i="48" s="1"/>
  <c r="F86" i="48" s="1"/>
  <c r="G87" i="48"/>
  <c r="E87" i="48" s="1"/>
  <c r="F87" i="48" s="1"/>
  <c r="G88" i="48"/>
  <c r="E88" i="48" s="1"/>
  <c r="F88" i="48" s="1"/>
  <c r="G89" i="48"/>
  <c r="E89" i="48" s="1"/>
  <c r="F89" i="48" s="1"/>
  <c r="G90" i="48"/>
  <c r="E90" i="48" s="1"/>
  <c r="F90" i="48" s="1"/>
  <c r="G91" i="48"/>
  <c r="E91" i="48" s="1"/>
  <c r="G92" i="48"/>
  <c r="E92" i="48" s="1"/>
  <c r="F92" i="48" s="1"/>
  <c r="G93" i="48"/>
  <c r="E93" i="48" s="1"/>
  <c r="F93" i="48" s="1"/>
  <c r="G94" i="48"/>
  <c r="E94" i="48" s="1"/>
  <c r="F94" i="48" s="1"/>
  <c r="G95" i="48"/>
  <c r="E95" i="48" s="1"/>
  <c r="F95" i="48" s="1"/>
  <c r="G96" i="48"/>
  <c r="E96" i="48" s="1"/>
  <c r="F96" i="48" s="1"/>
  <c r="G97" i="48"/>
  <c r="E97" i="48" s="1"/>
  <c r="F97" i="48" s="1"/>
  <c r="G98" i="48"/>
  <c r="E98" i="48" s="1"/>
  <c r="F98" i="48" s="1"/>
  <c r="G99" i="48"/>
  <c r="E99" i="48" s="1"/>
  <c r="G100" i="48"/>
  <c r="E100" i="48" s="1"/>
  <c r="F100" i="48" s="1"/>
  <c r="G101" i="48"/>
  <c r="E101" i="48" s="1"/>
  <c r="F101" i="48" s="1"/>
  <c r="G102" i="48"/>
  <c r="E102" i="48" s="1"/>
  <c r="F102" i="48" s="1"/>
  <c r="G103" i="48"/>
  <c r="E103" i="48" s="1"/>
  <c r="F103" i="48" s="1"/>
  <c r="G104" i="48"/>
  <c r="E104" i="48" s="1"/>
  <c r="F104" i="48" s="1"/>
  <c r="G105" i="48"/>
  <c r="E105" i="48" s="1"/>
  <c r="F105" i="48" s="1"/>
  <c r="G106" i="48"/>
  <c r="E106" i="48" s="1"/>
  <c r="F106" i="48" s="1"/>
  <c r="G107" i="48"/>
  <c r="E107" i="48" s="1"/>
  <c r="G108" i="48"/>
  <c r="E108" i="48" s="1"/>
  <c r="F108" i="48" s="1"/>
  <c r="G109" i="48"/>
  <c r="E109" i="48" s="1"/>
  <c r="F109" i="48" s="1"/>
  <c r="G110" i="48"/>
  <c r="E110" i="48" s="1"/>
  <c r="F110" i="48" s="1"/>
  <c r="G111" i="48"/>
  <c r="E111" i="48" s="1"/>
  <c r="F111" i="48" s="1"/>
  <c r="G112" i="48"/>
  <c r="E112" i="48" s="1"/>
  <c r="F112" i="48" s="1"/>
  <c r="G113" i="48"/>
  <c r="E113" i="48" s="1"/>
  <c r="F113" i="48" s="1"/>
  <c r="G114" i="48"/>
  <c r="E114" i="48" s="1"/>
  <c r="F114" i="48" s="1"/>
  <c r="G115" i="48"/>
  <c r="E115" i="48" s="1"/>
  <c r="G116" i="48"/>
  <c r="E116" i="48" s="1"/>
  <c r="F116" i="48" s="1"/>
  <c r="G117" i="48"/>
  <c r="E117" i="48" s="1"/>
  <c r="F117" i="48" s="1"/>
  <c r="G118" i="48"/>
  <c r="E118" i="48" s="1"/>
  <c r="F118" i="48" s="1"/>
  <c r="G119" i="48"/>
  <c r="E119" i="48" s="1"/>
  <c r="F119" i="48" s="1"/>
  <c r="G120" i="48"/>
  <c r="E120" i="48" s="1"/>
  <c r="F120" i="48" s="1"/>
  <c r="G121" i="48"/>
  <c r="E121" i="48" s="1"/>
  <c r="F121" i="48" s="1"/>
  <c r="G122" i="48"/>
  <c r="E122" i="48" s="1"/>
  <c r="F122" i="48" s="1"/>
  <c r="G123" i="48"/>
  <c r="E123" i="48" s="1"/>
  <c r="G124" i="48"/>
  <c r="E124" i="48" s="1"/>
  <c r="F124" i="48" s="1"/>
  <c r="G125" i="48"/>
  <c r="E125" i="48" s="1"/>
  <c r="F125" i="48" s="1"/>
  <c r="G126" i="48"/>
  <c r="E126" i="48" s="1"/>
  <c r="F126" i="48" s="1"/>
  <c r="G127" i="48"/>
  <c r="E127" i="48" s="1"/>
  <c r="F127" i="48" s="1"/>
  <c r="G128" i="48"/>
  <c r="E128" i="48" s="1"/>
  <c r="F128" i="48" s="1"/>
  <c r="G129" i="48"/>
  <c r="E129" i="48" s="1"/>
  <c r="F129" i="48" s="1"/>
  <c r="G130" i="48"/>
  <c r="E130" i="48" s="1"/>
  <c r="F130" i="48" s="1"/>
  <c r="G131" i="48"/>
  <c r="E131" i="48" s="1"/>
  <c r="G132" i="48"/>
  <c r="E132" i="48" s="1"/>
  <c r="F132" i="48" s="1"/>
  <c r="G133" i="48"/>
  <c r="E133" i="48" s="1"/>
  <c r="F133" i="48" s="1"/>
  <c r="G134" i="48"/>
  <c r="E134" i="48" s="1"/>
  <c r="F134" i="48" s="1"/>
  <c r="G135" i="48"/>
  <c r="E135" i="48" s="1"/>
  <c r="F135" i="48" s="1"/>
  <c r="G136" i="48"/>
  <c r="E136" i="48" s="1"/>
  <c r="F136" i="48" s="1"/>
  <c r="G137" i="48"/>
  <c r="E137" i="48" s="1"/>
  <c r="F137" i="48" s="1"/>
  <c r="G138" i="48"/>
  <c r="E138" i="48" s="1"/>
  <c r="F138" i="48" s="1"/>
  <c r="G139" i="48"/>
  <c r="E139" i="48" s="1"/>
  <c r="G140" i="48"/>
  <c r="E140" i="48" s="1"/>
  <c r="F140" i="48" s="1"/>
  <c r="G141" i="48"/>
  <c r="E141" i="48" s="1"/>
  <c r="F141" i="48" s="1"/>
  <c r="G142" i="48"/>
  <c r="E142" i="48" s="1"/>
  <c r="I142" i="48" s="1"/>
  <c r="G143" i="48"/>
  <c r="E143" i="48" s="1"/>
  <c r="F143" i="48" s="1"/>
  <c r="G144" i="48"/>
  <c r="E144" i="48" s="1"/>
  <c r="F144" i="48" s="1"/>
  <c r="G145" i="48"/>
  <c r="E145" i="48" s="1"/>
  <c r="F145" i="48" s="1"/>
  <c r="G146" i="48"/>
  <c r="E146" i="48" s="1"/>
  <c r="F146" i="48" s="1"/>
  <c r="G147" i="48"/>
  <c r="E147" i="48" s="1"/>
  <c r="G148" i="48"/>
  <c r="E148" i="48" s="1"/>
  <c r="F148" i="48" s="1"/>
  <c r="G149" i="48"/>
  <c r="E149" i="48" s="1"/>
  <c r="F149" i="48" s="1"/>
  <c r="E13" i="48"/>
  <c r="F13" i="48" s="1"/>
  <c r="E46" i="48"/>
  <c r="F46" i="48" s="1"/>
  <c r="E67" i="32"/>
  <c r="E68" i="32"/>
  <c r="E66" i="32"/>
  <c r="E69" i="32"/>
  <c r="D32" i="44" l="1"/>
  <c r="D24" i="44"/>
  <c r="D31" i="44"/>
  <c r="D23" i="44"/>
  <c r="D37" i="44"/>
  <c r="D29" i="44"/>
  <c r="D30" i="44"/>
  <c r="D36" i="44"/>
  <c r="D28" i="44"/>
  <c r="D35" i="44"/>
  <c r="D27" i="44"/>
  <c r="D22" i="44"/>
  <c r="D34" i="44"/>
  <c r="D26" i="44"/>
  <c r="D33" i="44"/>
  <c r="D25" i="44"/>
  <c r="E70" i="32"/>
  <c r="A1" i="48" s="1" a="1"/>
  <c r="A1" i="48" s="1"/>
  <c r="I45" i="48"/>
  <c r="I77" i="48"/>
  <c r="F38" i="48"/>
  <c r="I38" i="48"/>
  <c r="I149" i="48"/>
  <c r="I141" i="48"/>
  <c r="I109" i="48"/>
  <c r="F78" i="48"/>
  <c r="I78" i="48"/>
  <c r="I134" i="48"/>
  <c r="I21" i="48"/>
  <c r="I110" i="48"/>
  <c r="I102" i="48"/>
  <c r="I20" i="48"/>
  <c r="I13" i="48"/>
  <c r="I133" i="48"/>
  <c r="I101" i="48"/>
  <c r="I69" i="48"/>
  <c r="I37" i="48"/>
  <c r="F28" i="48"/>
  <c r="I126" i="48"/>
  <c r="I94" i="48"/>
  <c r="I62" i="48"/>
  <c r="I70" i="48"/>
  <c r="I125" i="48"/>
  <c r="I93" i="48"/>
  <c r="I61" i="48"/>
  <c r="I46" i="48"/>
  <c r="I118" i="48"/>
  <c r="I86" i="48"/>
  <c r="I54" i="48"/>
  <c r="I29" i="48"/>
  <c r="I117" i="48"/>
  <c r="I85" i="48"/>
  <c r="I53" i="48"/>
  <c r="F147" i="48"/>
  <c r="I147" i="48"/>
  <c r="F139" i="48"/>
  <c r="I139" i="48"/>
  <c r="F131" i="48"/>
  <c r="I131" i="48"/>
  <c r="F123" i="48"/>
  <c r="I123" i="48"/>
  <c r="F115" i="48"/>
  <c r="I115" i="48"/>
  <c r="F107" i="48"/>
  <c r="I107" i="48"/>
  <c r="F99" i="48"/>
  <c r="I99" i="48"/>
  <c r="F91" i="48"/>
  <c r="I91" i="48"/>
  <c r="F75" i="48"/>
  <c r="I75" i="48"/>
  <c r="F59" i="48"/>
  <c r="I59" i="48"/>
  <c r="F51" i="48"/>
  <c r="I51" i="48"/>
  <c r="F43" i="48"/>
  <c r="I43" i="48"/>
  <c r="F35" i="48"/>
  <c r="I35" i="48"/>
  <c r="F18" i="48"/>
  <c r="I18" i="48"/>
  <c r="F10" i="48"/>
  <c r="F142" i="48"/>
  <c r="I148" i="48"/>
  <c r="I140" i="48"/>
  <c r="I132" i="48"/>
  <c r="I124" i="48"/>
  <c r="I116" i="48"/>
  <c r="I108" i="48"/>
  <c r="I100" i="48"/>
  <c r="I92" i="48"/>
  <c r="I84" i="48"/>
  <c r="I76" i="48"/>
  <c r="I68" i="48"/>
  <c r="I60" i="48"/>
  <c r="I52" i="48"/>
  <c r="I44" i="48"/>
  <c r="I36" i="48"/>
  <c r="I27" i="48"/>
  <c r="I19" i="48"/>
  <c r="F31" i="48"/>
  <c r="I12" i="48"/>
  <c r="I83" i="48"/>
  <c r="I67" i="48"/>
  <c r="I26" i="48"/>
  <c r="I146" i="48"/>
  <c r="I138" i="48"/>
  <c r="I130" i="48"/>
  <c r="I122" i="48"/>
  <c r="I114" i="48"/>
  <c r="I106" i="48"/>
  <c r="I98" i="48"/>
  <c r="I90" i="48"/>
  <c r="I82" i="48"/>
  <c r="I74" i="48"/>
  <c r="I66" i="48"/>
  <c r="I58" i="48"/>
  <c r="I50" i="48"/>
  <c r="I42" i="48"/>
  <c r="I34" i="48"/>
  <c r="I25" i="48"/>
  <c r="I17" i="48"/>
  <c r="F47" i="48"/>
  <c r="I145" i="48"/>
  <c r="I137" i="48"/>
  <c r="I129" i="48"/>
  <c r="I121" i="48"/>
  <c r="I113" i="48"/>
  <c r="I105" i="48"/>
  <c r="I97" i="48"/>
  <c r="I89" i="48"/>
  <c r="I81" i="48"/>
  <c r="I73" i="48"/>
  <c r="I65" i="48"/>
  <c r="I57" i="48"/>
  <c r="I49" i="48"/>
  <c r="I41" i="48"/>
  <c r="I33" i="48"/>
  <c r="I24" i="48"/>
  <c r="I16" i="48"/>
  <c r="I144" i="48"/>
  <c r="I136" i="48"/>
  <c r="I128" i="48"/>
  <c r="I120" i="48"/>
  <c r="I112" i="48"/>
  <c r="I104" i="48"/>
  <c r="I96" i="48"/>
  <c r="I88" i="48"/>
  <c r="I80" i="48"/>
  <c r="I72" i="48"/>
  <c r="I64" i="48"/>
  <c r="I56" i="48"/>
  <c r="I48" i="48"/>
  <c r="I40" i="48"/>
  <c r="I32" i="48"/>
  <c r="I23" i="48"/>
  <c r="I15" i="48"/>
  <c r="F63" i="48"/>
  <c r="I143" i="48"/>
  <c r="I135" i="48"/>
  <c r="I127" i="48"/>
  <c r="I119" i="48"/>
  <c r="I111" i="48"/>
  <c r="I103" i="48"/>
  <c r="I95" i="48"/>
  <c r="I87" i="48"/>
  <c r="I79" i="48"/>
  <c r="I71" i="48"/>
  <c r="I55" i="48"/>
  <c r="I39" i="48"/>
  <c r="I30" i="48"/>
  <c r="I22" i="48"/>
  <c r="I14" i="48"/>
  <c r="F11" i="48"/>
  <c r="I11" i="48"/>
  <c r="R118" i="49"/>
  <c r="I10" i="48" l="1"/>
  <c r="I104" i="49"/>
  <c r="I105" i="49"/>
  <c r="I106" i="49"/>
  <c r="I107" i="49"/>
  <c r="I108" i="49"/>
  <c r="I109" i="49"/>
  <c r="I110" i="49"/>
  <c r="I111" i="49"/>
  <c r="I112" i="49"/>
  <c r="I114" i="49"/>
  <c r="G104" i="49"/>
  <c r="E104" i="49" s="1"/>
  <c r="F104" i="49" s="1"/>
  <c r="G105" i="49"/>
  <c r="G106" i="49"/>
  <c r="G107" i="49"/>
  <c r="E107" i="49" s="1"/>
  <c r="F107" i="49" s="1"/>
  <c r="G108" i="49"/>
  <c r="G109" i="49"/>
  <c r="E109" i="49" s="1"/>
  <c r="F109" i="49" s="1"/>
  <c r="G110" i="49"/>
  <c r="E110" i="49" s="1"/>
  <c r="F110" i="49" s="1"/>
  <c r="G111" i="49"/>
  <c r="E111" i="49" s="1"/>
  <c r="F111" i="49" s="1"/>
  <c r="G112" i="49"/>
  <c r="E112" i="49" s="1"/>
  <c r="F112" i="49" s="1"/>
  <c r="G114" i="49"/>
  <c r="E4" i="49"/>
  <c r="E13" i="49"/>
  <c r="E25" i="49"/>
  <c r="E31" i="49"/>
  <c r="E41" i="49"/>
  <c r="E49" i="49"/>
  <c r="E55" i="49"/>
  <c r="E60" i="49"/>
  <c r="E67" i="49"/>
  <c r="E73" i="49"/>
  <c r="E77" i="49"/>
  <c r="E78" i="49"/>
  <c r="E79" i="49"/>
  <c r="E80" i="49"/>
  <c r="E81" i="49"/>
  <c r="E82" i="49"/>
  <c r="E83" i="49"/>
  <c r="E84" i="49"/>
  <c r="E85" i="49"/>
  <c r="E86" i="49"/>
  <c r="E87" i="49"/>
  <c r="E88" i="49"/>
  <c r="E89" i="49"/>
  <c r="E90" i="49"/>
  <c r="E91" i="49"/>
  <c r="E92" i="49"/>
  <c r="E105" i="49"/>
  <c r="F105" i="49" s="1"/>
  <c r="E106" i="49"/>
  <c r="F106" i="49" s="1"/>
  <c r="E108" i="49"/>
  <c r="F108" i="49" s="1"/>
  <c r="E114" i="49"/>
  <c r="F114" i="49" s="1"/>
  <c r="BP131" i="49"/>
  <c r="BO131" i="49"/>
  <c r="BN131" i="49"/>
  <c r="BM131" i="49"/>
  <c r="BL131" i="49"/>
  <c r="BK131" i="49"/>
  <c r="BJ131" i="49"/>
  <c r="BI131" i="49"/>
  <c r="BH131" i="49"/>
  <c r="BG131" i="49"/>
  <c r="BF131" i="49"/>
  <c r="BE131" i="49"/>
  <c r="BD131" i="49"/>
  <c r="BC131" i="49"/>
  <c r="BB131" i="49"/>
  <c r="BA131" i="49"/>
  <c r="AZ131" i="49"/>
  <c r="AY131" i="49"/>
  <c r="AX131" i="49"/>
  <c r="AW131" i="49"/>
  <c r="AV131" i="49"/>
  <c r="AU131" i="49"/>
  <c r="AT131" i="49"/>
  <c r="AS131" i="49"/>
  <c r="AR131" i="49"/>
  <c r="AQ131" i="49"/>
  <c r="AP131" i="49"/>
  <c r="AO131" i="49"/>
  <c r="AN131" i="49"/>
  <c r="AM131" i="49"/>
  <c r="AL131" i="49"/>
  <c r="AK131" i="49"/>
  <c r="AJ131" i="49"/>
  <c r="AI131" i="49"/>
  <c r="Q131" i="49" s="1"/>
  <c r="AH131" i="49"/>
  <c r="AG131" i="49"/>
  <c r="AF131" i="49"/>
  <c r="AE131" i="49"/>
  <c r="AD131" i="49"/>
  <c r="AC131" i="49"/>
  <c r="AB131" i="49"/>
  <c r="AA131" i="49"/>
  <c r="Z131" i="49"/>
  <c r="Y131" i="49"/>
  <c r="X131" i="49"/>
  <c r="W131" i="49"/>
  <c r="V131" i="49"/>
  <c r="U131" i="49"/>
  <c r="T131" i="49"/>
  <c r="S131" i="49"/>
  <c r="R131" i="49"/>
  <c r="BP130" i="49"/>
  <c r="BO130" i="49"/>
  <c r="BN130" i="49"/>
  <c r="BM130" i="49"/>
  <c r="BL130" i="49"/>
  <c r="BK130" i="49"/>
  <c r="BJ130" i="49"/>
  <c r="BI130" i="49"/>
  <c r="BH130" i="49"/>
  <c r="BG130" i="49"/>
  <c r="BF130" i="49"/>
  <c r="BE130" i="49"/>
  <c r="BD130" i="49"/>
  <c r="BC130" i="49"/>
  <c r="BB130" i="49"/>
  <c r="BA130" i="49"/>
  <c r="AZ130" i="49"/>
  <c r="AY130" i="49"/>
  <c r="AX130" i="49"/>
  <c r="AW130" i="49"/>
  <c r="AV130" i="49"/>
  <c r="AU130" i="49"/>
  <c r="AT130" i="49"/>
  <c r="AS130" i="49"/>
  <c r="AR130" i="49"/>
  <c r="AQ130" i="49"/>
  <c r="AP130" i="49"/>
  <c r="AO130" i="49"/>
  <c r="AN130" i="49"/>
  <c r="AM130" i="49"/>
  <c r="AL130" i="49"/>
  <c r="AK130" i="49"/>
  <c r="AJ130" i="49"/>
  <c r="AI130" i="49"/>
  <c r="AH130" i="49"/>
  <c r="AG130" i="49"/>
  <c r="AF130" i="49"/>
  <c r="AE130" i="49"/>
  <c r="AD130" i="49"/>
  <c r="AC130" i="49"/>
  <c r="AB130" i="49"/>
  <c r="AA130" i="49"/>
  <c r="Z130" i="49"/>
  <c r="Y130" i="49"/>
  <c r="X130" i="49"/>
  <c r="W130" i="49"/>
  <c r="V130" i="49"/>
  <c r="U130" i="49"/>
  <c r="T130" i="49"/>
  <c r="S130" i="49"/>
  <c r="R130" i="49"/>
  <c r="BP129" i="49"/>
  <c r="BO129" i="49"/>
  <c r="BN129" i="49"/>
  <c r="BM129" i="49"/>
  <c r="BL129" i="49"/>
  <c r="BK129" i="49"/>
  <c r="BJ129" i="49"/>
  <c r="BI129" i="49"/>
  <c r="BH129" i="49"/>
  <c r="BG129" i="49"/>
  <c r="BF129" i="49"/>
  <c r="BE129" i="49"/>
  <c r="BD129" i="49"/>
  <c r="BC129" i="49"/>
  <c r="BB129" i="49"/>
  <c r="BA129" i="49"/>
  <c r="AZ129" i="49"/>
  <c r="AY129" i="49"/>
  <c r="AX129" i="49"/>
  <c r="AW129" i="49"/>
  <c r="AV129" i="49"/>
  <c r="AU129" i="49"/>
  <c r="AT129" i="49"/>
  <c r="AS129" i="49"/>
  <c r="AR129" i="49"/>
  <c r="AQ129" i="49"/>
  <c r="AP129" i="49"/>
  <c r="AO129" i="49"/>
  <c r="AN129" i="49"/>
  <c r="AM129" i="49"/>
  <c r="AL129" i="49"/>
  <c r="AK129" i="49"/>
  <c r="AJ129" i="49"/>
  <c r="AI129" i="49"/>
  <c r="AH129" i="49"/>
  <c r="AG129" i="49"/>
  <c r="AF129" i="49"/>
  <c r="AE129" i="49"/>
  <c r="AD129" i="49"/>
  <c r="AC129" i="49"/>
  <c r="AB129" i="49"/>
  <c r="AA129" i="49"/>
  <c r="Z129" i="49"/>
  <c r="Y129" i="49"/>
  <c r="X129" i="49"/>
  <c r="W129" i="49"/>
  <c r="V129" i="49"/>
  <c r="U129" i="49"/>
  <c r="T129" i="49"/>
  <c r="S129" i="49"/>
  <c r="R129" i="49"/>
  <c r="BP128" i="49"/>
  <c r="BO128" i="49"/>
  <c r="BN128" i="49"/>
  <c r="BM128" i="49"/>
  <c r="BL128" i="49"/>
  <c r="BK128" i="49"/>
  <c r="BJ128" i="49"/>
  <c r="BI128" i="49"/>
  <c r="BH128" i="49"/>
  <c r="BG128" i="49"/>
  <c r="BF128" i="49"/>
  <c r="BE128" i="49"/>
  <c r="BD128" i="49"/>
  <c r="BC128" i="49"/>
  <c r="BB128" i="49"/>
  <c r="BA128" i="49"/>
  <c r="AZ128" i="49"/>
  <c r="AY128" i="49"/>
  <c r="AX128" i="49"/>
  <c r="AW128" i="49"/>
  <c r="AV128" i="49"/>
  <c r="AU128" i="49"/>
  <c r="AT128" i="49"/>
  <c r="AS128" i="49"/>
  <c r="AR128" i="49"/>
  <c r="AQ128" i="49"/>
  <c r="AP128" i="49"/>
  <c r="AO128" i="49"/>
  <c r="AN128" i="49"/>
  <c r="AM128" i="49"/>
  <c r="AL128" i="49"/>
  <c r="AK128" i="49"/>
  <c r="AJ128" i="49"/>
  <c r="AI128" i="49"/>
  <c r="AH128" i="49"/>
  <c r="AG128" i="49"/>
  <c r="AF128" i="49"/>
  <c r="AE128" i="49"/>
  <c r="AD128" i="49"/>
  <c r="AC128" i="49"/>
  <c r="AB128" i="49"/>
  <c r="AA128" i="49"/>
  <c r="Z128" i="49"/>
  <c r="Y128" i="49"/>
  <c r="X128" i="49"/>
  <c r="W128" i="49"/>
  <c r="V128" i="49"/>
  <c r="U128" i="49"/>
  <c r="T128" i="49"/>
  <c r="S128" i="49"/>
  <c r="R128" i="49"/>
  <c r="BP127" i="49"/>
  <c r="BO127" i="49"/>
  <c r="BN127" i="49"/>
  <c r="BM127" i="49"/>
  <c r="BL127" i="49"/>
  <c r="BK127" i="49"/>
  <c r="BJ127" i="49"/>
  <c r="BI127" i="49"/>
  <c r="BH127" i="49"/>
  <c r="BG127" i="49"/>
  <c r="BF127" i="49"/>
  <c r="BE127" i="49"/>
  <c r="BD127" i="49"/>
  <c r="BC127" i="49"/>
  <c r="BB127" i="49"/>
  <c r="BA127" i="49"/>
  <c r="AZ127" i="49"/>
  <c r="AY127" i="49"/>
  <c r="AX127" i="49"/>
  <c r="AW127" i="49"/>
  <c r="AV127" i="49"/>
  <c r="AU127" i="49"/>
  <c r="AT127" i="49"/>
  <c r="AS127" i="49"/>
  <c r="AR127" i="49"/>
  <c r="AQ127" i="49"/>
  <c r="AP127" i="49"/>
  <c r="AO127" i="49"/>
  <c r="AN127" i="49"/>
  <c r="AM127" i="49"/>
  <c r="AL127" i="49"/>
  <c r="AK127" i="49"/>
  <c r="AJ127" i="49"/>
  <c r="AI127" i="49"/>
  <c r="AH127" i="49"/>
  <c r="AG127" i="49"/>
  <c r="AF127" i="49"/>
  <c r="AE127" i="49"/>
  <c r="AD127" i="49"/>
  <c r="AC127" i="49"/>
  <c r="AB127" i="49"/>
  <c r="AA127" i="49"/>
  <c r="Z127" i="49"/>
  <c r="Y127" i="49"/>
  <c r="X127" i="49"/>
  <c r="W127" i="49"/>
  <c r="V127" i="49"/>
  <c r="U127" i="49"/>
  <c r="T127" i="49"/>
  <c r="S127" i="49"/>
  <c r="R127" i="49"/>
  <c r="BP126" i="49"/>
  <c r="BO126" i="49"/>
  <c r="BN126" i="49"/>
  <c r="BM126" i="49"/>
  <c r="BL126" i="49"/>
  <c r="BK126" i="49"/>
  <c r="BJ126" i="49"/>
  <c r="BI126" i="49"/>
  <c r="BH126" i="49"/>
  <c r="BG126" i="49"/>
  <c r="BF126" i="49"/>
  <c r="BE126" i="49"/>
  <c r="BD126" i="49"/>
  <c r="BC126" i="49"/>
  <c r="BB126" i="49"/>
  <c r="BA126" i="49"/>
  <c r="AZ126" i="49"/>
  <c r="AY126" i="49"/>
  <c r="AX126" i="49"/>
  <c r="AW126" i="49"/>
  <c r="AV126" i="49"/>
  <c r="AU126" i="49"/>
  <c r="AT126" i="49"/>
  <c r="AS126" i="49"/>
  <c r="AR126" i="49"/>
  <c r="AQ126" i="49"/>
  <c r="AP126" i="49"/>
  <c r="AO126" i="49"/>
  <c r="AN126" i="49"/>
  <c r="AM126" i="49"/>
  <c r="AL126" i="49"/>
  <c r="AK126" i="49"/>
  <c r="AJ126" i="49"/>
  <c r="AI126" i="49"/>
  <c r="AH126" i="49"/>
  <c r="AG126" i="49"/>
  <c r="AF126" i="49"/>
  <c r="AE126" i="49"/>
  <c r="AD126" i="49"/>
  <c r="AC126" i="49"/>
  <c r="AB126" i="49"/>
  <c r="AA126" i="49"/>
  <c r="Z126" i="49"/>
  <c r="Y126" i="49"/>
  <c r="X126" i="49"/>
  <c r="W126" i="49"/>
  <c r="V126" i="49"/>
  <c r="U126" i="49"/>
  <c r="T126" i="49"/>
  <c r="S126" i="49"/>
  <c r="R126" i="49"/>
  <c r="BP125" i="49"/>
  <c r="BO125" i="49"/>
  <c r="BN125" i="49"/>
  <c r="BM125" i="49"/>
  <c r="BL125" i="49"/>
  <c r="BK125" i="49"/>
  <c r="BJ125" i="49"/>
  <c r="BI125" i="49"/>
  <c r="BH125" i="49"/>
  <c r="BG125" i="49"/>
  <c r="BF125" i="49"/>
  <c r="BE125" i="49"/>
  <c r="BD125" i="49"/>
  <c r="BC125" i="49"/>
  <c r="BB125" i="49"/>
  <c r="BA125" i="49"/>
  <c r="AZ125" i="49"/>
  <c r="AY125" i="49"/>
  <c r="AX125" i="49"/>
  <c r="AW125" i="49"/>
  <c r="AV125" i="49"/>
  <c r="AU125" i="49"/>
  <c r="AT125" i="49"/>
  <c r="AS125" i="49"/>
  <c r="AR125" i="49"/>
  <c r="AQ125" i="49"/>
  <c r="AP125" i="49"/>
  <c r="AO125" i="49"/>
  <c r="AN125" i="49"/>
  <c r="AM125" i="49"/>
  <c r="AL125" i="49"/>
  <c r="AK125" i="49"/>
  <c r="AJ125" i="49"/>
  <c r="AI125" i="49"/>
  <c r="AH125" i="49"/>
  <c r="AG125" i="49"/>
  <c r="AF125" i="49"/>
  <c r="AE125" i="49"/>
  <c r="AD125" i="49"/>
  <c r="AC125" i="49"/>
  <c r="AB125" i="49"/>
  <c r="AA125" i="49"/>
  <c r="Z125" i="49"/>
  <c r="Y125" i="49"/>
  <c r="X125" i="49"/>
  <c r="W125" i="49"/>
  <c r="V125" i="49"/>
  <c r="U125" i="49"/>
  <c r="T125" i="49"/>
  <c r="S125" i="49"/>
  <c r="R125" i="49"/>
  <c r="BP124" i="49"/>
  <c r="BO124" i="49"/>
  <c r="BN124" i="49"/>
  <c r="BM124" i="49"/>
  <c r="BL124" i="49"/>
  <c r="BK124" i="49"/>
  <c r="BJ124" i="49"/>
  <c r="BI124" i="49"/>
  <c r="BH124" i="49"/>
  <c r="BG124" i="49"/>
  <c r="BF124" i="49"/>
  <c r="BE124" i="49"/>
  <c r="BD124" i="49"/>
  <c r="BC124" i="49"/>
  <c r="BB124" i="49"/>
  <c r="BA124" i="49"/>
  <c r="AZ124" i="49"/>
  <c r="AY124" i="49"/>
  <c r="AX124" i="49"/>
  <c r="AW124" i="49"/>
  <c r="AV124" i="49"/>
  <c r="AU124" i="49"/>
  <c r="AT124" i="49"/>
  <c r="AS124" i="49"/>
  <c r="AR124" i="49"/>
  <c r="AQ124" i="49"/>
  <c r="AP124" i="49"/>
  <c r="AO124" i="49"/>
  <c r="AN124" i="49"/>
  <c r="AM124" i="49"/>
  <c r="AL124" i="49"/>
  <c r="AK124" i="49"/>
  <c r="AJ124" i="49"/>
  <c r="AI124" i="49"/>
  <c r="AH124" i="49"/>
  <c r="AG124" i="49"/>
  <c r="AF124" i="49"/>
  <c r="AE124" i="49"/>
  <c r="AD124" i="49"/>
  <c r="AC124" i="49"/>
  <c r="AB124" i="49"/>
  <c r="AA124" i="49"/>
  <c r="Z124" i="49"/>
  <c r="Y124" i="49"/>
  <c r="X124" i="49"/>
  <c r="W124" i="49"/>
  <c r="V124" i="49"/>
  <c r="U124" i="49"/>
  <c r="T124" i="49"/>
  <c r="S124" i="49"/>
  <c r="R124" i="49"/>
  <c r="BP123" i="49"/>
  <c r="BO123" i="49"/>
  <c r="BN123" i="49"/>
  <c r="BM123" i="49"/>
  <c r="BL123" i="49"/>
  <c r="BK123" i="49"/>
  <c r="BJ123" i="49"/>
  <c r="BI123" i="49"/>
  <c r="BH123" i="49"/>
  <c r="BG123" i="49"/>
  <c r="BF123" i="49"/>
  <c r="BE123" i="49"/>
  <c r="BD123" i="49"/>
  <c r="BC123" i="49"/>
  <c r="BB123" i="49"/>
  <c r="BA123" i="49"/>
  <c r="AZ123" i="49"/>
  <c r="AY123" i="49"/>
  <c r="AX123" i="49"/>
  <c r="AW123" i="49"/>
  <c r="AV123" i="49"/>
  <c r="AU123" i="49"/>
  <c r="AT123" i="49"/>
  <c r="AS123" i="49"/>
  <c r="AR123" i="49"/>
  <c r="AQ123" i="49"/>
  <c r="AP123" i="49"/>
  <c r="AO123" i="49"/>
  <c r="AN123" i="49"/>
  <c r="AM123" i="49"/>
  <c r="AL123" i="49"/>
  <c r="AK123" i="49"/>
  <c r="AJ123" i="49"/>
  <c r="AI123" i="49"/>
  <c r="AH123" i="49"/>
  <c r="AG123" i="49"/>
  <c r="AF123" i="49"/>
  <c r="AE123" i="49"/>
  <c r="AD123" i="49"/>
  <c r="AC123" i="49"/>
  <c r="AB123" i="49"/>
  <c r="AA123" i="49"/>
  <c r="Z123" i="49"/>
  <c r="Y123" i="49"/>
  <c r="X123" i="49"/>
  <c r="W123" i="49"/>
  <c r="V123" i="49"/>
  <c r="U123" i="49"/>
  <c r="T123" i="49"/>
  <c r="S123" i="49"/>
  <c r="R123" i="49"/>
  <c r="BP122" i="49"/>
  <c r="BO122" i="49"/>
  <c r="BN122" i="49"/>
  <c r="BM122" i="49"/>
  <c r="BL122" i="49"/>
  <c r="BK122" i="49"/>
  <c r="BJ122" i="49"/>
  <c r="BI122" i="49"/>
  <c r="BH122" i="49"/>
  <c r="BG122" i="49"/>
  <c r="BF122" i="49"/>
  <c r="BE122" i="49"/>
  <c r="BD122" i="49"/>
  <c r="BC122" i="49"/>
  <c r="BB122" i="49"/>
  <c r="BA122" i="49"/>
  <c r="AZ122" i="49"/>
  <c r="AY122" i="49"/>
  <c r="AX122" i="49"/>
  <c r="AW122" i="49"/>
  <c r="AV122" i="49"/>
  <c r="AU122" i="49"/>
  <c r="AT122" i="49"/>
  <c r="AS122" i="49"/>
  <c r="AR122" i="49"/>
  <c r="AQ122" i="49"/>
  <c r="AP122" i="49"/>
  <c r="AO122" i="49"/>
  <c r="AN122" i="49"/>
  <c r="AM122" i="49"/>
  <c r="AL122" i="49"/>
  <c r="AK122" i="49"/>
  <c r="AJ122" i="49"/>
  <c r="AI122" i="49"/>
  <c r="AH122" i="49"/>
  <c r="AG122" i="49"/>
  <c r="AF122" i="49"/>
  <c r="AE122" i="49"/>
  <c r="AD122" i="49"/>
  <c r="AC122" i="49"/>
  <c r="AB122" i="49"/>
  <c r="AA122" i="49"/>
  <c r="Z122" i="49"/>
  <c r="Y122" i="49"/>
  <c r="X122" i="49"/>
  <c r="W122" i="49"/>
  <c r="V122" i="49"/>
  <c r="U122" i="49"/>
  <c r="T122" i="49"/>
  <c r="S122" i="49"/>
  <c r="R122" i="49"/>
  <c r="BP121" i="49"/>
  <c r="BO121" i="49"/>
  <c r="BN121" i="49"/>
  <c r="BM121" i="49"/>
  <c r="BL121" i="49"/>
  <c r="BK121" i="49"/>
  <c r="BJ121" i="49"/>
  <c r="BI121" i="49"/>
  <c r="BH121" i="49"/>
  <c r="BG121" i="49"/>
  <c r="BF121" i="49"/>
  <c r="BE121" i="49"/>
  <c r="BD121" i="49"/>
  <c r="BC121" i="49"/>
  <c r="BB121" i="49"/>
  <c r="BA121" i="49"/>
  <c r="AZ121" i="49"/>
  <c r="AY121" i="49"/>
  <c r="AX121" i="49"/>
  <c r="AW121" i="49"/>
  <c r="AV121" i="49"/>
  <c r="AU121" i="49"/>
  <c r="AT121" i="49"/>
  <c r="AS121" i="49"/>
  <c r="AR121" i="49"/>
  <c r="AQ121" i="49"/>
  <c r="AP121" i="49"/>
  <c r="AO121" i="49"/>
  <c r="AN121" i="49"/>
  <c r="AM121" i="49"/>
  <c r="AL121" i="49"/>
  <c r="AK121" i="49"/>
  <c r="AJ121" i="49"/>
  <c r="AI121" i="49"/>
  <c r="AH121" i="49"/>
  <c r="AG121" i="49"/>
  <c r="AF121" i="49"/>
  <c r="AE121" i="49"/>
  <c r="AD121" i="49"/>
  <c r="AC121" i="49"/>
  <c r="AB121" i="49"/>
  <c r="AA121" i="49"/>
  <c r="Z121" i="49"/>
  <c r="Y121" i="49"/>
  <c r="X121" i="49"/>
  <c r="W121" i="49"/>
  <c r="V121" i="49"/>
  <c r="U121" i="49"/>
  <c r="T121" i="49"/>
  <c r="S121" i="49"/>
  <c r="R121" i="49"/>
  <c r="BP120" i="49"/>
  <c r="BO120" i="49"/>
  <c r="BN120" i="49"/>
  <c r="BM120" i="49"/>
  <c r="BL120" i="49"/>
  <c r="BK120" i="49"/>
  <c r="BJ120" i="49"/>
  <c r="BI120" i="49"/>
  <c r="BH120" i="49"/>
  <c r="BG120" i="49"/>
  <c r="BF120" i="49"/>
  <c r="BE120" i="49"/>
  <c r="BD120" i="49"/>
  <c r="BC120" i="49"/>
  <c r="BB120" i="49"/>
  <c r="BA120" i="49"/>
  <c r="AZ120" i="49"/>
  <c r="AY120" i="49"/>
  <c r="AX120" i="49"/>
  <c r="AW120" i="49"/>
  <c r="AV120" i="49"/>
  <c r="AU120" i="49"/>
  <c r="AT120" i="49"/>
  <c r="AS120" i="49"/>
  <c r="AR120" i="49"/>
  <c r="AQ120" i="49"/>
  <c r="AP120" i="49"/>
  <c r="AO120" i="49"/>
  <c r="AN120" i="49"/>
  <c r="AM120" i="49"/>
  <c r="AL120" i="49"/>
  <c r="AK120" i="49"/>
  <c r="AJ120" i="49"/>
  <c r="AI120" i="49"/>
  <c r="AH120" i="49"/>
  <c r="AG120" i="49"/>
  <c r="AF120" i="49"/>
  <c r="AE120" i="49"/>
  <c r="AD120" i="49"/>
  <c r="AC120" i="49"/>
  <c r="AB120" i="49"/>
  <c r="AA120" i="49"/>
  <c r="Z120" i="49"/>
  <c r="Y120" i="49"/>
  <c r="X120" i="49"/>
  <c r="W120" i="49"/>
  <c r="V120" i="49"/>
  <c r="U120" i="49"/>
  <c r="T120" i="49"/>
  <c r="S120" i="49"/>
  <c r="R120" i="49"/>
  <c r="BP119" i="49"/>
  <c r="BO119" i="49"/>
  <c r="BN119" i="49"/>
  <c r="BM119" i="49"/>
  <c r="BL119" i="49"/>
  <c r="BK119" i="49"/>
  <c r="BJ119" i="49"/>
  <c r="BI119" i="49"/>
  <c r="BH119" i="49"/>
  <c r="BG119" i="49"/>
  <c r="BF119" i="49"/>
  <c r="BE119" i="49"/>
  <c r="BD119" i="49"/>
  <c r="BC119" i="49"/>
  <c r="BB119" i="49"/>
  <c r="BA119" i="49"/>
  <c r="AZ119" i="49"/>
  <c r="AY119" i="49"/>
  <c r="AX119" i="49"/>
  <c r="AW119" i="49"/>
  <c r="AV119" i="49"/>
  <c r="AU119" i="49"/>
  <c r="AT119" i="49"/>
  <c r="AS119" i="49"/>
  <c r="AR119" i="49"/>
  <c r="AQ119" i="49"/>
  <c r="AP119" i="49"/>
  <c r="AO119" i="49"/>
  <c r="AN119" i="49"/>
  <c r="AM119" i="49"/>
  <c r="AL119" i="49"/>
  <c r="AK119" i="49"/>
  <c r="AJ119" i="49"/>
  <c r="AI119" i="49"/>
  <c r="AH119" i="49"/>
  <c r="AG119" i="49"/>
  <c r="AF119" i="49"/>
  <c r="AE119" i="49"/>
  <c r="AD119" i="49"/>
  <c r="AC119" i="49"/>
  <c r="AB119" i="49"/>
  <c r="AA119" i="49"/>
  <c r="Z119" i="49"/>
  <c r="Y119" i="49"/>
  <c r="X119" i="49"/>
  <c r="W119" i="49"/>
  <c r="V119" i="49"/>
  <c r="U119" i="49"/>
  <c r="T119" i="49"/>
  <c r="S119" i="49"/>
  <c r="R119" i="49"/>
  <c r="BP118" i="49"/>
  <c r="BO118" i="49"/>
  <c r="BN118" i="49"/>
  <c r="BM118" i="49"/>
  <c r="BL118" i="49"/>
  <c r="BK118" i="49"/>
  <c r="BJ118" i="49"/>
  <c r="BI118" i="49"/>
  <c r="BH118" i="49"/>
  <c r="BG118" i="49"/>
  <c r="BF118" i="49"/>
  <c r="BE118" i="49"/>
  <c r="BD118" i="49"/>
  <c r="BC118" i="49"/>
  <c r="BB118" i="49"/>
  <c r="BA118" i="49"/>
  <c r="AZ118" i="49"/>
  <c r="AY118" i="49"/>
  <c r="AX118" i="49"/>
  <c r="AW118" i="49"/>
  <c r="AV118" i="49"/>
  <c r="AU118" i="49"/>
  <c r="AT118" i="49"/>
  <c r="AS118" i="49"/>
  <c r="AR118" i="49"/>
  <c r="AQ118" i="49"/>
  <c r="AP118" i="49"/>
  <c r="AO118" i="49"/>
  <c r="AN118" i="49"/>
  <c r="AM118" i="49"/>
  <c r="AL118" i="49"/>
  <c r="AK118" i="49"/>
  <c r="AJ118" i="49"/>
  <c r="AI118" i="49"/>
  <c r="AH118" i="49"/>
  <c r="AG118" i="49"/>
  <c r="AF118" i="49"/>
  <c r="AE118" i="49"/>
  <c r="AD118" i="49"/>
  <c r="AC118" i="49"/>
  <c r="AB118" i="49"/>
  <c r="AA118" i="49"/>
  <c r="Z118" i="49"/>
  <c r="Y118" i="49"/>
  <c r="X118" i="49"/>
  <c r="W118" i="49"/>
  <c r="V118" i="49"/>
  <c r="U118" i="49"/>
  <c r="T118" i="49"/>
  <c r="S118" i="49"/>
  <c r="BP117" i="49"/>
  <c r="BO117" i="49"/>
  <c r="BN117" i="49"/>
  <c r="BM117" i="49"/>
  <c r="BL117" i="49"/>
  <c r="BK117" i="49"/>
  <c r="BJ117" i="49"/>
  <c r="BI117" i="49"/>
  <c r="BH117" i="49"/>
  <c r="BG117" i="49"/>
  <c r="BF117" i="49"/>
  <c r="BE117" i="49"/>
  <c r="BD117" i="49"/>
  <c r="BC117" i="49"/>
  <c r="BB117" i="49"/>
  <c r="BA117" i="49"/>
  <c r="AZ117" i="49"/>
  <c r="AY117" i="49"/>
  <c r="AX117" i="49"/>
  <c r="AW117" i="49"/>
  <c r="AV117" i="49"/>
  <c r="AU117" i="49"/>
  <c r="AT117" i="49"/>
  <c r="AS117" i="49"/>
  <c r="AR117" i="49"/>
  <c r="AQ117" i="49"/>
  <c r="AP117" i="49"/>
  <c r="AO117" i="49"/>
  <c r="AN117" i="49"/>
  <c r="AM117" i="49"/>
  <c r="AL117" i="49"/>
  <c r="AK117" i="49"/>
  <c r="AJ117" i="49"/>
  <c r="AI117" i="49"/>
  <c r="AH117" i="49"/>
  <c r="AG117" i="49"/>
  <c r="AF117" i="49"/>
  <c r="AE117" i="49"/>
  <c r="AD117" i="49"/>
  <c r="AC117" i="49"/>
  <c r="AB117" i="49"/>
  <c r="AA117" i="49"/>
  <c r="Z117" i="49"/>
  <c r="Y117" i="49"/>
  <c r="X117" i="49"/>
  <c r="W117" i="49"/>
  <c r="V117" i="49"/>
  <c r="U117" i="49"/>
  <c r="T117" i="49"/>
  <c r="S117" i="49"/>
  <c r="R117" i="49"/>
  <c r="BP116" i="49"/>
  <c r="BO116" i="49"/>
  <c r="BN116" i="49"/>
  <c r="BM116" i="49"/>
  <c r="BL116" i="49"/>
  <c r="BK116" i="49"/>
  <c r="BJ116" i="49"/>
  <c r="BI116" i="49"/>
  <c r="BH116" i="49"/>
  <c r="BG116" i="49"/>
  <c r="BF116" i="49"/>
  <c r="BE116" i="49"/>
  <c r="BD116" i="49"/>
  <c r="BC116" i="49"/>
  <c r="BB116" i="49"/>
  <c r="BA116" i="49"/>
  <c r="AZ116" i="49"/>
  <c r="AY116" i="49"/>
  <c r="AX116" i="49"/>
  <c r="AW116" i="49"/>
  <c r="AV116" i="49"/>
  <c r="AU116" i="49"/>
  <c r="AT116" i="49"/>
  <c r="AS116" i="49"/>
  <c r="AR116" i="49"/>
  <c r="AQ116" i="49"/>
  <c r="AP116" i="49"/>
  <c r="AO116" i="49"/>
  <c r="AN116" i="49"/>
  <c r="AM116" i="49"/>
  <c r="AL116" i="49"/>
  <c r="AK116" i="49"/>
  <c r="AJ116" i="49"/>
  <c r="AI116" i="49"/>
  <c r="AH116" i="49"/>
  <c r="AG116" i="49"/>
  <c r="AF116" i="49"/>
  <c r="AE116" i="49"/>
  <c r="AD116" i="49"/>
  <c r="AC116" i="49"/>
  <c r="AB116" i="49"/>
  <c r="AA116" i="49"/>
  <c r="Z116" i="49"/>
  <c r="Y116" i="49"/>
  <c r="X116" i="49"/>
  <c r="W116" i="49"/>
  <c r="V116" i="49"/>
  <c r="U116" i="49"/>
  <c r="T116" i="49"/>
  <c r="S116" i="49"/>
  <c r="R116" i="49"/>
  <c r="BP115" i="49"/>
  <c r="BO115" i="49"/>
  <c r="BN115" i="49"/>
  <c r="BM115" i="49"/>
  <c r="BL115" i="49"/>
  <c r="BK115" i="49"/>
  <c r="BJ115" i="49"/>
  <c r="BI115" i="49"/>
  <c r="BH115" i="49"/>
  <c r="BG115" i="49"/>
  <c r="BF115" i="49"/>
  <c r="BE115" i="49"/>
  <c r="BD115" i="49"/>
  <c r="BC115" i="49"/>
  <c r="BB115" i="49"/>
  <c r="BA115" i="49"/>
  <c r="AZ115" i="49"/>
  <c r="AY115" i="49"/>
  <c r="AX115" i="49"/>
  <c r="AW115" i="49"/>
  <c r="AV115" i="49"/>
  <c r="AU115" i="49"/>
  <c r="AT115" i="49"/>
  <c r="AS115" i="49"/>
  <c r="AR115" i="49"/>
  <c r="AQ115" i="49"/>
  <c r="AP115" i="49"/>
  <c r="AO115" i="49"/>
  <c r="AN115" i="49"/>
  <c r="AM115" i="49"/>
  <c r="AL115" i="49"/>
  <c r="AK115" i="49"/>
  <c r="AJ115" i="49"/>
  <c r="AI115" i="49"/>
  <c r="AH115" i="49"/>
  <c r="AG115" i="49"/>
  <c r="AF115" i="49"/>
  <c r="AE115" i="49"/>
  <c r="AD115" i="49"/>
  <c r="AC115" i="49"/>
  <c r="AB115" i="49"/>
  <c r="AA115" i="49"/>
  <c r="Z115" i="49"/>
  <c r="Y115" i="49"/>
  <c r="X115" i="49"/>
  <c r="W115" i="49"/>
  <c r="V115" i="49"/>
  <c r="U115" i="49"/>
  <c r="T115" i="49"/>
  <c r="S115" i="49"/>
  <c r="R115" i="49"/>
  <c r="P110" i="49"/>
  <c r="O110" i="49"/>
  <c r="N110" i="49"/>
  <c r="M110" i="49"/>
  <c r="L110" i="49"/>
  <c r="P109" i="49"/>
  <c r="O109" i="49"/>
  <c r="N109" i="49"/>
  <c r="M109" i="49"/>
  <c r="L109" i="49"/>
  <c r="P108" i="49"/>
  <c r="P107" i="49" s="1"/>
  <c r="O108" i="49"/>
  <c r="N108" i="49"/>
  <c r="N107" i="49" s="1"/>
  <c r="M108" i="49"/>
  <c r="M107" i="49" s="1"/>
  <c r="L108" i="49"/>
  <c r="L107" i="49" s="1"/>
  <c r="O107" i="49"/>
  <c r="K107" i="49"/>
  <c r="J107" i="49"/>
  <c r="P106" i="49"/>
  <c r="O106" i="49"/>
  <c r="N106" i="49"/>
  <c r="M106" i="49"/>
  <c r="L106" i="49"/>
  <c r="P105" i="49"/>
  <c r="O105" i="49"/>
  <c r="N105" i="49"/>
  <c r="M105" i="49"/>
  <c r="P104" i="49"/>
  <c r="O104" i="49"/>
  <c r="N104" i="49"/>
  <c r="M104" i="49"/>
  <c r="L104" i="49"/>
  <c r="P103" i="49"/>
  <c r="O103" i="49"/>
  <c r="O102" i="49" s="1"/>
  <c r="N103" i="49"/>
  <c r="N102" i="49" s="1"/>
  <c r="M103" i="49"/>
  <c r="M102" i="49" s="1"/>
  <c r="L103" i="49"/>
  <c r="L102" i="49" s="1"/>
  <c r="K102" i="49"/>
  <c r="P101" i="49"/>
  <c r="O101" i="49"/>
  <c r="N101" i="49"/>
  <c r="M101" i="49"/>
  <c r="L101" i="49"/>
  <c r="P100" i="49"/>
  <c r="O100" i="49"/>
  <c r="N100" i="49"/>
  <c r="M100" i="49"/>
  <c r="L100" i="49"/>
  <c r="G100" i="49" s="1"/>
  <c r="E100" i="49" s="1"/>
  <c r="P99" i="49"/>
  <c r="O99" i="49"/>
  <c r="N99" i="49"/>
  <c r="M99" i="49"/>
  <c r="L99" i="49"/>
  <c r="K98" i="49"/>
  <c r="P97" i="49"/>
  <c r="P96" i="49" s="1"/>
  <c r="O97" i="49"/>
  <c r="O96" i="49" s="1"/>
  <c r="N97" i="49"/>
  <c r="N96" i="49" s="1"/>
  <c r="M97" i="49"/>
  <c r="M96" i="49" s="1"/>
  <c r="L97" i="49"/>
  <c r="L96" i="49" s="1"/>
  <c r="K96" i="49"/>
  <c r="P95" i="49"/>
  <c r="O95" i="49"/>
  <c r="N95" i="49"/>
  <c r="M95" i="49"/>
  <c r="L95" i="49"/>
  <c r="P94" i="49"/>
  <c r="O94" i="49"/>
  <c r="N94" i="49"/>
  <c r="M94" i="49"/>
  <c r="L94" i="49"/>
  <c r="G94" i="49" s="1"/>
  <c r="E94" i="49" s="1"/>
  <c r="K93" i="49"/>
  <c r="Q92" i="49"/>
  <c r="O92" i="49"/>
  <c r="N92" i="49"/>
  <c r="M92" i="49"/>
  <c r="L92" i="49"/>
  <c r="H92" i="49" s="1"/>
  <c r="G92" i="49"/>
  <c r="Q91" i="49"/>
  <c r="O91" i="49"/>
  <c r="N91" i="49"/>
  <c r="M91" i="49"/>
  <c r="G91" i="49"/>
  <c r="L91" i="49" s="1"/>
  <c r="H91" i="49" s="1"/>
  <c r="Q90" i="49"/>
  <c r="O90" i="49"/>
  <c r="N90" i="49"/>
  <c r="M90" i="49"/>
  <c r="G90" i="49"/>
  <c r="L90" i="49" s="1"/>
  <c r="H90" i="49" s="1"/>
  <c r="Q89" i="49"/>
  <c r="O89" i="49"/>
  <c r="N89" i="49"/>
  <c r="M89" i="49"/>
  <c r="L89" i="49"/>
  <c r="H89" i="49" s="1"/>
  <c r="G89" i="49"/>
  <c r="Q88" i="49"/>
  <c r="O88" i="49"/>
  <c r="N88" i="49"/>
  <c r="M88" i="49"/>
  <c r="G88" i="49"/>
  <c r="L88" i="49" s="1"/>
  <c r="H88" i="49" s="1"/>
  <c r="Q87" i="49"/>
  <c r="O87" i="49"/>
  <c r="N87" i="49"/>
  <c r="M87" i="49"/>
  <c r="G87" i="49"/>
  <c r="L87" i="49" s="1"/>
  <c r="H87" i="49" s="1"/>
  <c r="Q86" i="49"/>
  <c r="O86" i="49"/>
  <c r="N86" i="49"/>
  <c r="M86" i="49"/>
  <c r="L86" i="49"/>
  <c r="H86" i="49" s="1"/>
  <c r="G86" i="49"/>
  <c r="Q85" i="49"/>
  <c r="O85" i="49"/>
  <c r="N85" i="49"/>
  <c r="M85" i="49"/>
  <c r="L85" i="49"/>
  <c r="H85" i="49" s="1"/>
  <c r="G85" i="49"/>
  <c r="Q84" i="49"/>
  <c r="O84" i="49"/>
  <c r="N84" i="49"/>
  <c r="M84" i="49"/>
  <c r="L84" i="49"/>
  <c r="H84" i="49" s="1"/>
  <c r="G84" i="49"/>
  <c r="Q83" i="49"/>
  <c r="O83" i="49"/>
  <c r="N83" i="49"/>
  <c r="M83" i="49"/>
  <c r="G83" i="49"/>
  <c r="L83" i="49" s="1"/>
  <c r="H83" i="49" s="1"/>
  <c r="Q82" i="49"/>
  <c r="O82" i="49"/>
  <c r="N82" i="49"/>
  <c r="M82" i="49"/>
  <c r="G82" i="49"/>
  <c r="L82" i="49" s="1"/>
  <c r="H82" i="49" s="1"/>
  <c r="Q81" i="49"/>
  <c r="O81" i="49"/>
  <c r="N81" i="49"/>
  <c r="M81" i="49"/>
  <c r="L81" i="49"/>
  <c r="H81" i="49" s="1"/>
  <c r="G81" i="49"/>
  <c r="Q80" i="49"/>
  <c r="O80" i="49"/>
  <c r="N80" i="49"/>
  <c r="M80" i="49"/>
  <c r="G80" i="49"/>
  <c r="L80" i="49" s="1"/>
  <c r="H80" i="49" s="1"/>
  <c r="Q79" i="49"/>
  <c r="O79" i="49"/>
  <c r="N79" i="49"/>
  <c r="M79" i="49"/>
  <c r="G79" i="49"/>
  <c r="L79" i="49" s="1"/>
  <c r="H79" i="49" s="1"/>
  <c r="Q78" i="49"/>
  <c r="O78" i="49"/>
  <c r="N78" i="49"/>
  <c r="M78" i="49"/>
  <c r="L78" i="49"/>
  <c r="H78" i="49" s="1"/>
  <c r="G78" i="49"/>
  <c r="Q77" i="49"/>
  <c r="O77" i="49"/>
  <c r="N77" i="49"/>
  <c r="M77" i="49"/>
  <c r="L77" i="49"/>
  <c r="H77" i="49"/>
  <c r="G77" i="49"/>
  <c r="P76" i="49"/>
  <c r="O76" i="49"/>
  <c r="N76" i="49"/>
  <c r="M76" i="49"/>
  <c r="L76" i="49"/>
  <c r="G76" i="49" s="1"/>
  <c r="E76" i="49" s="1"/>
  <c r="P75" i="49"/>
  <c r="O75" i="49"/>
  <c r="N75" i="49"/>
  <c r="M75" i="49"/>
  <c r="G75" i="49" s="1"/>
  <c r="E75" i="49" s="1"/>
  <c r="P74" i="49"/>
  <c r="O74" i="49"/>
  <c r="N74" i="49"/>
  <c r="M74" i="49"/>
  <c r="G74" i="49" s="1"/>
  <c r="E74" i="49" s="1"/>
  <c r="O73" i="49"/>
  <c r="N73" i="49"/>
  <c r="M73" i="49"/>
  <c r="P72" i="49"/>
  <c r="O72" i="49"/>
  <c r="N72" i="49"/>
  <c r="M72" i="49"/>
  <c r="P71" i="49"/>
  <c r="O71" i="49"/>
  <c r="N71" i="49"/>
  <c r="M71" i="49"/>
  <c r="K70" i="49"/>
  <c r="P69" i="49"/>
  <c r="O69" i="49"/>
  <c r="N69" i="49"/>
  <c r="M69" i="49"/>
  <c r="L69" i="49"/>
  <c r="G69" i="49" s="1"/>
  <c r="E69" i="49" s="1"/>
  <c r="P68" i="49"/>
  <c r="O68" i="49"/>
  <c r="N68" i="49"/>
  <c r="M68" i="49"/>
  <c r="O67" i="49"/>
  <c r="N67" i="49"/>
  <c r="M67" i="49"/>
  <c r="P66" i="49"/>
  <c r="O66" i="49"/>
  <c r="N66" i="49"/>
  <c r="M66" i="49"/>
  <c r="L66" i="49"/>
  <c r="P65" i="49"/>
  <c r="O65" i="49"/>
  <c r="N65" i="49"/>
  <c r="M65" i="49"/>
  <c r="L65" i="49"/>
  <c r="G65" i="49" s="1"/>
  <c r="E65" i="49" s="1"/>
  <c r="P64" i="49"/>
  <c r="O64" i="49"/>
  <c r="N64" i="49"/>
  <c r="M64" i="49"/>
  <c r="L64" i="49"/>
  <c r="G64" i="49" s="1"/>
  <c r="E64" i="49" s="1"/>
  <c r="P63" i="49"/>
  <c r="O63" i="49"/>
  <c r="N63" i="49"/>
  <c r="M63" i="49"/>
  <c r="L63" i="49"/>
  <c r="K62" i="49"/>
  <c r="O61" i="49"/>
  <c r="N61" i="49"/>
  <c r="M61" i="49"/>
  <c r="L61" i="49"/>
  <c r="H61" i="49" s="1"/>
  <c r="G61" i="49" s="1"/>
  <c r="E61" i="49" s="1"/>
  <c r="O60" i="49"/>
  <c r="N60" i="49"/>
  <c r="M60" i="49"/>
  <c r="O59" i="49"/>
  <c r="N59" i="49"/>
  <c r="M59" i="49"/>
  <c r="L59" i="49"/>
  <c r="O58" i="49"/>
  <c r="N58" i="49"/>
  <c r="M58" i="49"/>
  <c r="L58" i="49"/>
  <c r="H58" i="49" s="1"/>
  <c r="G58" i="49" s="1"/>
  <c r="E58" i="49" s="1"/>
  <c r="K57" i="49"/>
  <c r="O56" i="49"/>
  <c r="N56" i="49"/>
  <c r="M56" i="49"/>
  <c r="L56" i="49"/>
  <c r="H56" i="49" s="1"/>
  <c r="G56" i="49" s="1"/>
  <c r="E56" i="49" s="1"/>
  <c r="O55" i="49"/>
  <c r="N55" i="49"/>
  <c r="M55" i="49"/>
  <c r="O54" i="49"/>
  <c r="N54" i="49"/>
  <c r="M54" i="49"/>
  <c r="L54" i="49"/>
  <c r="H54" i="49" s="1"/>
  <c r="G54" i="49" s="1"/>
  <c r="E54" i="49" s="1"/>
  <c r="O53" i="49"/>
  <c r="N53" i="49"/>
  <c r="M53" i="49"/>
  <c r="L53" i="49"/>
  <c r="H53" i="49" s="1"/>
  <c r="G53" i="49" s="1"/>
  <c r="E53" i="49" s="1"/>
  <c r="O52" i="49"/>
  <c r="N52" i="49"/>
  <c r="M52" i="49"/>
  <c r="L52" i="49"/>
  <c r="H52" i="49" s="1"/>
  <c r="G52" i="49" s="1"/>
  <c r="E52" i="49" s="1"/>
  <c r="K51" i="49"/>
  <c r="P50" i="49"/>
  <c r="O50" i="49"/>
  <c r="N50" i="49"/>
  <c r="M50" i="49"/>
  <c r="L50" i="49"/>
  <c r="G50" i="49" s="1"/>
  <c r="E50" i="49" s="1"/>
  <c r="O49" i="49"/>
  <c r="N49" i="49"/>
  <c r="M49" i="49"/>
  <c r="P48" i="49"/>
  <c r="O48" i="49"/>
  <c r="N48" i="49"/>
  <c r="M48" i="49"/>
  <c r="L48" i="49"/>
  <c r="G48" i="49" s="1"/>
  <c r="E48" i="49" s="1"/>
  <c r="P47" i="49"/>
  <c r="O47" i="49"/>
  <c r="N47" i="49"/>
  <c r="M47" i="49"/>
  <c r="L47" i="49"/>
  <c r="K46" i="49"/>
  <c r="P45" i="49"/>
  <c r="O45" i="49"/>
  <c r="N45" i="49"/>
  <c r="M45" i="49"/>
  <c r="L45" i="49"/>
  <c r="P44" i="49"/>
  <c r="O44" i="49"/>
  <c r="N44" i="49"/>
  <c r="M44" i="49"/>
  <c r="L44" i="49"/>
  <c r="K43" i="49"/>
  <c r="P42" i="49"/>
  <c r="O42" i="49"/>
  <c r="N42" i="49"/>
  <c r="M42" i="49"/>
  <c r="L42" i="49"/>
  <c r="O41" i="49"/>
  <c r="N41" i="49"/>
  <c r="M41" i="49"/>
  <c r="P40" i="49"/>
  <c r="O40" i="49"/>
  <c r="N40" i="49"/>
  <c r="M40" i="49"/>
  <c r="L40" i="49"/>
  <c r="P39" i="49"/>
  <c r="O39" i="49"/>
  <c r="N39" i="49"/>
  <c r="M39" i="49"/>
  <c r="L39" i="49"/>
  <c r="P38" i="49"/>
  <c r="O38" i="49"/>
  <c r="N38" i="49"/>
  <c r="M38" i="49"/>
  <c r="L38" i="49"/>
  <c r="G38" i="49" s="1"/>
  <c r="E38" i="49" s="1"/>
  <c r="P37" i="49"/>
  <c r="O37" i="49"/>
  <c r="N37" i="49"/>
  <c r="M37" i="49"/>
  <c r="L37" i="49"/>
  <c r="K36" i="49"/>
  <c r="P35" i="49"/>
  <c r="O35" i="49"/>
  <c r="N35" i="49"/>
  <c r="M35" i="49"/>
  <c r="M33" i="49" s="1"/>
  <c r="L35" i="49"/>
  <c r="P34" i="49"/>
  <c r="O34" i="49"/>
  <c r="N34" i="49"/>
  <c r="M34" i="49"/>
  <c r="L34" i="49"/>
  <c r="K33" i="49"/>
  <c r="P32" i="49"/>
  <c r="O32" i="49"/>
  <c r="N32" i="49"/>
  <c r="M32" i="49"/>
  <c r="L32" i="49"/>
  <c r="O31" i="49"/>
  <c r="N31" i="49"/>
  <c r="M31" i="49"/>
  <c r="P30" i="49"/>
  <c r="O30" i="49"/>
  <c r="N30" i="49"/>
  <c r="M30" i="49"/>
  <c r="L30" i="49"/>
  <c r="P29" i="49"/>
  <c r="O29" i="49"/>
  <c r="N29" i="49"/>
  <c r="M29" i="49"/>
  <c r="L29" i="49"/>
  <c r="P28" i="49"/>
  <c r="O28" i="49"/>
  <c r="N28" i="49"/>
  <c r="M28" i="49"/>
  <c r="L28" i="49"/>
  <c r="K27" i="49"/>
  <c r="P26" i="49"/>
  <c r="O26" i="49"/>
  <c r="N26" i="49"/>
  <c r="M26" i="49"/>
  <c r="L26" i="49"/>
  <c r="O25" i="49"/>
  <c r="N25" i="49"/>
  <c r="M25" i="49"/>
  <c r="P24" i="49"/>
  <c r="O24" i="49"/>
  <c r="N24" i="49"/>
  <c r="M24" i="49"/>
  <c r="L24" i="49"/>
  <c r="P23" i="49"/>
  <c r="O23" i="49"/>
  <c r="N23" i="49"/>
  <c r="M23" i="49"/>
  <c r="L23" i="49"/>
  <c r="P22" i="49"/>
  <c r="O22" i="49"/>
  <c r="N22" i="49"/>
  <c r="M22" i="49"/>
  <c r="L22" i="49"/>
  <c r="G22" i="49" s="1"/>
  <c r="E22" i="49" s="1"/>
  <c r="K21" i="49"/>
  <c r="P20" i="49"/>
  <c r="O20" i="49"/>
  <c r="N20" i="49"/>
  <c r="M20" i="49"/>
  <c r="P19" i="49"/>
  <c r="O19" i="49"/>
  <c r="N19" i="49"/>
  <c r="M19" i="49"/>
  <c r="P18" i="49"/>
  <c r="O18" i="49"/>
  <c r="N18" i="49"/>
  <c r="M18" i="49"/>
  <c r="P17" i="49"/>
  <c r="O17" i="49"/>
  <c r="N17" i="49"/>
  <c r="M17" i="49"/>
  <c r="P16" i="49"/>
  <c r="O16" i="49"/>
  <c r="N16" i="49"/>
  <c r="M16" i="49"/>
  <c r="P15" i="49"/>
  <c r="O15" i="49"/>
  <c r="N15" i="49"/>
  <c r="M15" i="49"/>
  <c r="P14" i="49"/>
  <c r="O14" i="49"/>
  <c r="N14" i="49"/>
  <c r="M14" i="49"/>
  <c r="O13" i="49"/>
  <c r="N13" i="49"/>
  <c r="M13" i="49"/>
  <c r="P12" i="49"/>
  <c r="O12" i="49"/>
  <c r="N12" i="49"/>
  <c r="M12" i="49"/>
  <c r="P11" i="49"/>
  <c r="O11" i="49"/>
  <c r="N11" i="49"/>
  <c r="M11" i="49"/>
  <c r="P10" i="49"/>
  <c r="O10" i="49"/>
  <c r="N10" i="49"/>
  <c r="M10" i="49"/>
  <c r="P9" i="49"/>
  <c r="O9" i="49"/>
  <c r="N9" i="49"/>
  <c r="M9" i="49"/>
  <c r="P7" i="49"/>
  <c r="O7" i="49"/>
  <c r="N7" i="49"/>
  <c r="M7" i="49"/>
  <c r="L7" i="49"/>
  <c r="P6" i="49"/>
  <c r="O6" i="49"/>
  <c r="N6" i="49"/>
  <c r="M6" i="49"/>
  <c r="L6" i="49"/>
  <c r="G6" i="49" s="1"/>
  <c r="E6" i="49" s="1"/>
  <c r="F6" i="49" s="1"/>
  <c r="P5" i="49"/>
  <c r="O5" i="49"/>
  <c r="N5" i="49"/>
  <c r="M5" i="49"/>
  <c r="L5" i="49"/>
  <c r="G5" i="49" s="1"/>
  <c r="E5" i="49" s="1"/>
  <c r="F5" i="49" s="1"/>
  <c r="Q130" i="49" l="1"/>
  <c r="G101" i="49"/>
  <c r="E101" i="49" s="1"/>
  <c r="G99" i="49"/>
  <c r="E99" i="49" s="1"/>
  <c r="F99" i="49" s="1"/>
  <c r="L98" i="49"/>
  <c r="Q128" i="49"/>
  <c r="G128" i="49" s="1"/>
  <c r="E128" i="49" s="1"/>
  <c r="F128" i="49" s="1"/>
  <c r="G96" i="49"/>
  <c r="E96" i="49" s="1"/>
  <c r="F96" i="49" s="1"/>
  <c r="G95" i="49"/>
  <c r="E95" i="49" s="1"/>
  <c r="F95" i="49" s="1"/>
  <c r="M93" i="49"/>
  <c r="G68" i="49"/>
  <c r="E68" i="49" s="1"/>
  <c r="G66" i="49"/>
  <c r="E66" i="49" s="1"/>
  <c r="I66" i="49" s="1"/>
  <c r="G47" i="49"/>
  <c r="E47" i="49" s="1"/>
  <c r="F47" i="49" s="1"/>
  <c r="M43" i="49"/>
  <c r="G45" i="49"/>
  <c r="E45" i="49" s="1"/>
  <c r="F45" i="49" s="1"/>
  <c r="G42" i="49"/>
  <c r="E42" i="49" s="1"/>
  <c r="F42" i="49" s="1"/>
  <c r="G40" i="49"/>
  <c r="E40" i="49" s="1"/>
  <c r="G39" i="49"/>
  <c r="E39" i="49" s="1"/>
  <c r="G24" i="49"/>
  <c r="E24" i="49" s="1"/>
  <c r="G7" i="49"/>
  <c r="E7" i="49" s="1"/>
  <c r="F7" i="49" s="1"/>
  <c r="Q116" i="49"/>
  <c r="G116" i="49" s="1"/>
  <c r="E116" i="49" s="1"/>
  <c r="F116" i="49" s="1"/>
  <c r="G103" i="49"/>
  <c r="E103" i="49" s="1"/>
  <c r="P102" i="49"/>
  <c r="G102" i="49" s="1"/>
  <c r="E102" i="49" s="1"/>
  <c r="F101" i="49"/>
  <c r="I101" i="49"/>
  <c r="N98" i="49"/>
  <c r="M98" i="49"/>
  <c r="F100" i="49"/>
  <c r="I100" i="49"/>
  <c r="O98" i="49"/>
  <c r="P98" i="49"/>
  <c r="Q129" i="49"/>
  <c r="G129" i="49" s="1"/>
  <c r="E129" i="49" s="1"/>
  <c r="I128" i="49"/>
  <c r="G97" i="49"/>
  <c r="E97" i="49" s="1"/>
  <c r="I96" i="49"/>
  <c r="I95" i="49"/>
  <c r="N93" i="49"/>
  <c r="O93" i="49"/>
  <c r="P93" i="49"/>
  <c r="F94" i="49"/>
  <c r="I94" i="49"/>
  <c r="Q127" i="49"/>
  <c r="G127" i="49" s="1"/>
  <c r="E127" i="49" s="1"/>
  <c r="F127" i="49" s="1"/>
  <c r="F69" i="49"/>
  <c r="I69" i="49"/>
  <c r="F68" i="49"/>
  <c r="I68" i="49"/>
  <c r="N62" i="49"/>
  <c r="F66" i="49"/>
  <c r="F65" i="49"/>
  <c r="I65" i="49"/>
  <c r="L62" i="49"/>
  <c r="M62" i="49"/>
  <c r="O62" i="49"/>
  <c r="I64" i="49"/>
  <c r="F64" i="49"/>
  <c r="P62" i="49"/>
  <c r="Q125" i="49"/>
  <c r="G125" i="49" s="1"/>
  <c r="E125" i="49" s="1"/>
  <c r="G63" i="49"/>
  <c r="E63" i="49" s="1"/>
  <c r="N57" i="49"/>
  <c r="O57" i="49"/>
  <c r="L57" i="49"/>
  <c r="M57" i="49"/>
  <c r="M51" i="49"/>
  <c r="N51" i="49"/>
  <c r="O51" i="49"/>
  <c r="F50" i="49"/>
  <c r="I50" i="49"/>
  <c r="M46" i="49"/>
  <c r="F48" i="49"/>
  <c r="I48" i="49"/>
  <c r="N46" i="49"/>
  <c r="O46" i="49"/>
  <c r="P46" i="49"/>
  <c r="Q124" i="49"/>
  <c r="G124" i="49" s="1"/>
  <c r="E124" i="49" s="1"/>
  <c r="F124" i="49" s="1"/>
  <c r="I47" i="49"/>
  <c r="I45" i="49"/>
  <c r="N43" i="49"/>
  <c r="O43" i="49"/>
  <c r="L43" i="49"/>
  <c r="P43" i="49"/>
  <c r="G44" i="49"/>
  <c r="E44" i="49" s="1"/>
  <c r="Q123" i="49"/>
  <c r="G123" i="49" s="1"/>
  <c r="E123" i="49" s="1"/>
  <c r="AR132" i="49"/>
  <c r="AR133" i="49" s="1"/>
  <c r="BH132" i="49"/>
  <c r="BH133" i="49" s="1"/>
  <c r="F40" i="49"/>
  <c r="I40" i="49"/>
  <c r="P36" i="49"/>
  <c r="F39" i="49"/>
  <c r="I39" i="49"/>
  <c r="M36" i="49"/>
  <c r="F38" i="49"/>
  <c r="I38" i="49"/>
  <c r="L36" i="49"/>
  <c r="N36" i="49"/>
  <c r="O36" i="49"/>
  <c r="Q122" i="49"/>
  <c r="G122" i="49" s="1"/>
  <c r="E122" i="49" s="1"/>
  <c r="G37" i="49"/>
  <c r="E37" i="49" s="1"/>
  <c r="N33" i="49"/>
  <c r="O33" i="49"/>
  <c r="G35" i="49"/>
  <c r="E35" i="49" s="1"/>
  <c r="F35" i="49" s="1"/>
  <c r="X132" i="49"/>
  <c r="X133" i="49" s="1"/>
  <c r="AF132" i="49"/>
  <c r="AF133" i="49" s="1"/>
  <c r="AN132" i="49"/>
  <c r="AN133" i="49" s="1"/>
  <c r="AV132" i="49"/>
  <c r="AV133" i="49" s="1"/>
  <c r="BD132" i="49"/>
  <c r="BD133" i="49" s="1"/>
  <c r="BL132" i="49"/>
  <c r="BL133" i="49" s="1"/>
  <c r="G34" i="49"/>
  <c r="E34" i="49" s="1"/>
  <c r="F34" i="49" s="1"/>
  <c r="G32" i="49"/>
  <c r="E32" i="49" s="1"/>
  <c r="F32" i="49" s="1"/>
  <c r="G30" i="49"/>
  <c r="E30" i="49" s="1"/>
  <c r="I30" i="49" s="1"/>
  <c r="L27" i="49"/>
  <c r="O27" i="49"/>
  <c r="P27" i="49"/>
  <c r="G29" i="49"/>
  <c r="E29" i="49" s="1"/>
  <c r="I29" i="49" s="1"/>
  <c r="M27" i="49"/>
  <c r="G26" i="49"/>
  <c r="E26" i="49" s="1"/>
  <c r="I26" i="49" s="1"/>
  <c r="O21" i="49"/>
  <c r="AB132" i="49"/>
  <c r="AB133" i="49" s="1"/>
  <c r="AJ132" i="49"/>
  <c r="AJ133" i="49" s="1"/>
  <c r="M21" i="49"/>
  <c r="G23" i="49"/>
  <c r="E23" i="49" s="1"/>
  <c r="F23" i="49" s="1"/>
  <c r="N21" i="49"/>
  <c r="T132" i="49"/>
  <c r="T133" i="49" s="1"/>
  <c r="BP132" i="49"/>
  <c r="BP133" i="49" s="1"/>
  <c r="AZ132" i="49"/>
  <c r="AZ133" i="49" s="1"/>
  <c r="Q117" i="49"/>
  <c r="G117" i="49" s="1"/>
  <c r="E117" i="49" s="1"/>
  <c r="Q115" i="49"/>
  <c r="G115" i="49" s="1"/>
  <c r="E115" i="49" s="1"/>
  <c r="F75" i="49"/>
  <c r="I75" i="49"/>
  <c r="F76" i="49"/>
  <c r="I76" i="49"/>
  <c r="F74" i="49"/>
  <c r="I74" i="49"/>
  <c r="P70" i="49"/>
  <c r="O70" i="49"/>
  <c r="M70" i="49"/>
  <c r="Q126" i="49"/>
  <c r="G126" i="49" s="1"/>
  <c r="E126" i="49" s="1"/>
  <c r="N70" i="49"/>
  <c r="G71" i="49"/>
  <c r="E71" i="49" s="1"/>
  <c r="I32" i="49"/>
  <c r="F22" i="49"/>
  <c r="I22" i="49"/>
  <c r="F24" i="49"/>
  <c r="I24" i="49"/>
  <c r="F26" i="49"/>
  <c r="N8" i="49"/>
  <c r="R132" i="49"/>
  <c r="R133" i="49" s="1"/>
  <c r="Z132" i="49"/>
  <c r="Z133" i="49" s="1"/>
  <c r="AH132" i="49"/>
  <c r="AH133" i="49" s="1"/>
  <c r="AP132" i="49"/>
  <c r="AP133" i="49" s="1"/>
  <c r="AX132" i="49"/>
  <c r="AX133" i="49" s="1"/>
  <c r="BF132" i="49"/>
  <c r="BF133" i="49" s="1"/>
  <c r="BN132" i="49"/>
  <c r="BN133" i="49" s="1"/>
  <c r="Q118" i="49"/>
  <c r="G118" i="49" s="1"/>
  <c r="E118" i="49" s="1"/>
  <c r="F118" i="49" s="1"/>
  <c r="P21" i="49"/>
  <c r="N27" i="49"/>
  <c r="L33" i="49"/>
  <c r="AA132" i="49"/>
  <c r="AA133" i="49" s="1"/>
  <c r="AI132" i="49"/>
  <c r="AI133" i="49" s="1"/>
  <c r="AQ132" i="49"/>
  <c r="AQ133" i="49" s="1"/>
  <c r="AY132" i="49"/>
  <c r="AY133" i="49" s="1"/>
  <c r="BG132" i="49"/>
  <c r="BG133" i="49" s="1"/>
  <c r="BO132" i="49"/>
  <c r="BO133" i="49" s="1"/>
  <c r="AG132" i="49"/>
  <c r="AG133" i="49" s="1"/>
  <c r="AO132" i="49"/>
  <c r="AO133" i="49" s="1"/>
  <c r="AW132" i="49"/>
  <c r="AW133" i="49" s="1"/>
  <c r="BE132" i="49"/>
  <c r="BE133" i="49" s="1"/>
  <c r="BM132" i="49"/>
  <c r="BM133" i="49" s="1"/>
  <c r="Q121" i="49"/>
  <c r="G121" i="49" s="1"/>
  <c r="E121" i="49" s="1"/>
  <c r="I7" i="49"/>
  <c r="M8" i="49"/>
  <c r="U132" i="49"/>
  <c r="U133" i="49" s="1"/>
  <c r="AC132" i="49"/>
  <c r="AC133" i="49" s="1"/>
  <c r="AK132" i="49"/>
  <c r="AK133" i="49" s="1"/>
  <c r="AS132" i="49"/>
  <c r="AS133" i="49" s="1"/>
  <c r="BA132" i="49"/>
  <c r="BA133" i="49" s="1"/>
  <c r="BI132" i="49"/>
  <c r="BI133" i="49" s="1"/>
  <c r="I6" i="49"/>
  <c r="V132" i="49"/>
  <c r="V133" i="49" s="1"/>
  <c r="AD132" i="49"/>
  <c r="AD133" i="49" s="1"/>
  <c r="AL132" i="49"/>
  <c r="AL133" i="49" s="1"/>
  <c r="AT132" i="49"/>
  <c r="AT133" i="49" s="1"/>
  <c r="BB132" i="49"/>
  <c r="BB133" i="49" s="1"/>
  <c r="BJ132" i="49"/>
  <c r="BJ133" i="49" s="1"/>
  <c r="Q119" i="49"/>
  <c r="G119" i="49" s="1"/>
  <c r="E119" i="49" s="1"/>
  <c r="I5" i="49"/>
  <c r="P8" i="49"/>
  <c r="O8" i="49"/>
  <c r="L21" i="49"/>
  <c r="P33" i="49"/>
  <c r="W132" i="49"/>
  <c r="W133" i="49" s="1"/>
  <c r="AE132" i="49"/>
  <c r="AE133" i="49" s="1"/>
  <c r="AM132" i="49"/>
  <c r="AM133" i="49" s="1"/>
  <c r="AU132" i="49"/>
  <c r="AU133" i="49" s="1"/>
  <c r="BC132" i="49"/>
  <c r="BC133" i="49" s="1"/>
  <c r="BK132" i="49"/>
  <c r="BK133" i="49" s="1"/>
  <c r="Q120" i="49"/>
  <c r="G120" i="49" s="1"/>
  <c r="E120" i="49" s="1"/>
  <c r="G28" i="49"/>
  <c r="E28" i="49" s="1"/>
  <c r="G51" i="49"/>
  <c r="Y132" i="49"/>
  <c r="Y133" i="49" s="1"/>
  <c r="H59" i="49"/>
  <c r="L93" i="49"/>
  <c r="H51" i="49"/>
  <c r="S132" i="49"/>
  <c r="S133" i="49" s="1"/>
  <c r="L51" i="49"/>
  <c r="L46" i="49"/>
  <c r="G98" i="49" l="1"/>
  <c r="E98" i="49" s="1"/>
  <c r="I98" i="49" s="1"/>
  <c r="I99" i="49"/>
  <c r="G93" i="49"/>
  <c r="E93" i="49" s="1"/>
  <c r="F93" i="49" s="1"/>
  <c r="G46" i="49"/>
  <c r="E46" i="49" s="1"/>
  <c r="F46" i="49" s="1"/>
  <c r="G43" i="49"/>
  <c r="E43" i="49" s="1"/>
  <c r="F43" i="49" s="1"/>
  <c r="I42" i="49"/>
  <c r="G33" i="49"/>
  <c r="E33" i="49" s="1"/>
  <c r="F33" i="49" s="1"/>
  <c r="G27" i="49"/>
  <c r="E27" i="49" s="1"/>
  <c r="F27" i="49" s="1"/>
  <c r="I34" i="49"/>
  <c r="F30" i="49"/>
  <c r="F29" i="49"/>
  <c r="G21" i="49"/>
  <c r="E21" i="49" s="1"/>
  <c r="I23" i="49"/>
  <c r="I116" i="49"/>
  <c r="F102" i="49"/>
  <c r="I102" i="49"/>
  <c r="F103" i="49"/>
  <c r="I103" i="49"/>
  <c r="F129" i="49"/>
  <c r="I129" i="49"/>
  <c r="F97" i="49"/>
  <c r="I97" i="49"/>
  <c r="I127" i="49"/>
  <c r="G62" i="49"/>
  <c r="E62" i="49" s="1"/>
  <c r="F62" i="49" s="1"/>
  <c r="F63" i="49"/>
  <c r="I63" i="49"/>
  <c r="F125" i="49"/>
  <c r="I125" i="49"/>
  <c r="I51" i="49"/>
  <c r="E51" i="49"/>
  <c r="I124" i="49"/>
  <c r="I46" i="49"/>
  <c r="I43" i="49"/>
  <c r="F123" i="49"/>
  <c r="I123" i="49"/>
  <c r="F44" i="49"/>
  <c r="I44" i="49"/>
  <c r="G36" i="49"/>
  <c r="E36" i="49" s="1"/>
  <c r="F36" i="49" s="1"/>
  <c r="F37" i="49"/>
  <c r="I37" i="49"/>
  <c r="F122" i="49"/>
  <c r="I122" i="49"/>
  <c r="I35" i="49"/>
  <c r="F117" i="49"/>
  <c r="I117" i="49"/>
  <c r="F115" i="49"/>
  <c r="I115" i="49"/>
  <c r="Q132" i="49"/>
  <c r="Q134" i="49" s="1"/>
  <c r="F71" i="49"/>
  <c r="I71" i="49"/>
  <c r="F126" i="49"/>
  <c r="I126" i="49"/>
  <c r="F21" i="49"/>
  <c r="I21" i="49"/>
  <c r="I33" i="49"/>
  <c r="F121" i="49"/>
  <c r="I121" i="49"/>
  <c r="F119" i="49"/>
  <c r="I119" i="49"/>
  <c r="I118" i="49"/>
  <c r="F28" i="49"/>
  <c r="I28" i="49"/>
  <c r="F120" i="49"/>
  <c r="I120" i="49"/>
  <c r="H57" i="49"/>
  <c r="G59" i="49"/>
  <c r="F98" i="49" l="1"/>
  <c r="I93" i="49"/>
  <c r="I27" i="49"/>
  <c r="I62" i="49"/>
  <c r="G57" i="49"/>
  <c r="E59" i="49"/>
  <c r="I57" i="49"/>
  <c r="E57" i="49"/>
  <c r="Q138" i="49"/>
  <c r="I36" i="49"/>
  <c r="Q137" i="49"/>
  <c r="Q135" i="49"/>
  <c r="Q136" i="49"/>
  <c r="B8" i="44" a="1"/>
  <c r="B8" i="44" s="1"/>
  <c r="B2" i="44" a="1"/>
  <c r="B2" i="44" s="1"/>
  <c r="H2" i="45"/>
  <c r="H3" i="45"/>
  <c r="H4" i="45"/>
  <c r="H5" i="45"/>
  <c r="H6" i="45"/>
  <c r="H7" i="45"/>
  <c r="H8" i="45"/>
  <c r="H9" i="45"/>
  <c r="H10" i="45"/>
  <c r="H11" i="45"/>
  <c r="H12" i="45"/>
  <c r="H13" i="45"/>
  <c r="H14" i="45"/>
  <c r="H15" i="45"/>
  <c r="H16" i="45"/>
  <c r="H17" i="45"/>
  <c r="H18" i="45"/>
  <c r="H19" i="45"/>
  <c r="H20" i="45"/>
  <c r="H21" i="45"/>
  <c r="H22" i="45"/>
  <c r="H23" i="45"/>
  <c r="H24" i="45"/>
  <c r="H25" i="45"/>
  <c r="H26" i="45"/>
  <c r="H27" i="45"/>
  <c r="H28" i="45"/>
  <c r="H29" i="45"/>
  <c r="H30" i="45"/>
  <c r="H31" i="45"/>
  <c r="H32" i="45"/>
  <c r="H33" i="45"/>
  <c r="H34" i="45"/>
  <c r="H35" i="45"/>
  <c r="H36" i="45"/>
  <c r="H37" i="45"/>
  <c r="H38" i="45"/>
  <c r="H39" i="45"/>
  <c r="H40" i="45"/>
  <c r="H41" i="45"/>
  <c r="H42" i="45"/>
  <c r="H43" i="45"/>
  <c r="H44" i="45"/>
  <c r="H45" i="45"/>
  <c r="H46" i="45"/>
  <c r="H47" i="45"/>
  <c r="H48" i="45"/>
  <c r="H49" i="45"/>
  <c r="H50" i="45"/>
  <c r="H51" i="45"/>
  <c r="H52" i="45"/>
  <c r="H53" i="45"/>
  <c r="H54" i="45"/>
  <c r="H55" i="45"/>
  <c r="H56" i="45"/>
  <c r="H57" i="45"/>
  <c r="H58" i="45"/>
  <c r="H59" i="45"/>
  <c r="H60" i="45"/>
  <c r="D3" i="44" l="1"/>
  <c r="D14" i="44"/>
  <c r="D7" i="44"/>
  <c r="D10" i="44"/>
  <c r="D4" i="44"/>
  <c r="D15" i="44"/>
  <c r="D13" i="44"/>
  <c r="D21" i="44"/>
  <c r="D2" i="44"/>
  <c r="D20" i="44"/>
  <c r="D12" i="44"/>
  <c r="D19" i="44"/>
  <c r="D11" i="44"/>
  <c r="D18" i="44"/>
  <c r="D6" i="44"/>
  <c r="D17" i="44"/>
  <c r="D9" i="44"/>
  <c r="D5" i="44"/>
  <c r="D16" i="44"/>
  <c r="D8" i="44"/>
  <c r="J96" i="29"/>
  <c r="L96" i="29"/>
  <c r="M96" i="29"/>
  <c r="N96" i="29"/>
  <c r="K97" i="29"/>
  <c r="H97" i="29" s="1"/>
  <c r="G97" i="29" s="1"/>
  <c r="K98" i="29"/>
  <c r="H98" i="29" s="1"/>
  <c r="G98" i="29" s="1"/>
  <c r="K99" i="29"/>
  <c r="H99" i="29" s="1"/>
  <c r="G99" i="29" s="1"/>
  <c r="F11" i="32"/>
  <c r="G11" i="32"/>
  <c r="F17" i="32"/>
  <c r="K22" i="29"/>
  <c r="F102" i="38"/>
  <c r="F100" i="38"/>
  <c r="F97" i="38"/>
  <c r="F76" i="38"/>
  <c r="F67" i="38"/>
  <c r="F60" i="38"/>
  <c r="F52" i="38"/>
  <c r="F45" i="38"/>
  <c r="F36" i="38"/>
  <c r="F28" i="38"/>
  <c r="F20" i="38"/>
  <c r="F19" i="38"/>
  <c r="F4" i="38"/>
  <c r="F5" i="38"/>
  <c r="F6" i="38"/>
  <c r="F3" i="38"/>
  <c r="J66" i="29"/>
  <c r="J33" i="29"/>
  <c r="K35" i="29"/>
  <c r="H35" i="29" s="1"/>
  <c r="G35" i="29" s="1"/>
  <c r="K34" i="29"/>
  <c r="H34" i="29" s="1"/>
  <c r="G34" i="29" s="1"/>
  <c r="K26" i="29"/>
  <c r="M17" i="29"/>
  <c r="M18" i="29"/>
  <c r="M6" i="29"/>
  <c r="N6" i="29"/>
  <c r="M7" i="29"/>
  <c r="N7" i="29"/>
  <c r="M9" i="29"/>
  <c r="N9" i="29"/>
  <c r="M10" i="29"/>
  <c r="N10" i="29"/>
  <c r="M11" i="29"/>
  <c r="N11" i="29"/>
  <c r="M12" i="29"/>
  <c r="N12" i="29"/>
  <c r="M13" i="29"/>
  <c r="N13" i="29"/>
  <c r="M14" i="29"/>
  <c r="N14" i="29"/>
  <c r="M15" i="29"/>
  <c r="N15" i="29"/>
  <c r="M16" i="29"/>
  <c r="N16" i="29"/>
  <c r="N17" i="29"/>
  <c r="N18" i="29"/>
  <c r="M19" i="29"/>
  <c r="N19" i="29"/>
  <c r="M20" i="29"/>
  <c r="N20" i="29"/>
  <c r="M22" i="29"/>
  <c r="N22" i="29"/>
  <c r="M23" i="29"/>
  <c r="N23" i="29"/>
  <c r="M24" i="29"/>
  <c r="N24" i="29"/>
  <c r="M26" i="29"/>
  <c r="N26" i="29"/>
  <c r="M28" i="29"/>
  <c r="N28" i="29"/>
  <c r="M29" i="29"/>
  <c r="N29" i="29"/>
  <c r="M30" i="29"/>
  <c r="N30" i="29"/>
  <c r="M31" i="29"/>
  <c r="N31" i="29"/>
  <c r="M32" i="29"/>
  <c r="N32" i="29"/>
  <c r="M34" i="29"/>
  <c r="N34" i="29"/>
  <c r="M35" i="29"/>
  <c r="N35" i="29"/>
  <c r="M37" i="29"/>
  <c r="N37" i="29"/>
  <c r="M38" i="29"/>
  <c r="N38" i="29"/>
  <c r="M39" i="29"/>
  <c r="N39" i="29"/>
  <c r="M40" i="29"/>
  <c r="N40" i="29"/>
  <c r="M41" i="29"/>
  <c r="N41" i="29"/>
  <c r="M42" i="29"/>
  <c r="N42" i="29"/>
  <c r="M44" i="29"/>
  <c r="N44" i="29"/>
  <c r="M45" i="29"/>
  <c r="N45" i="29"/>
  <c r="M46" i="29"/>
  <c r="N46" i="29"/>
  <c r="M47" i="29"/>
  <c r="N47" i="29"/>
  <c r="M49" i="29"/>
  <c r="N49" i="29"/>
  <c r="M50" i="29"/>
  <c r="N50" i="29"/>
  <c r="M51" i="29"/>
  <c r="N51" i="29"/>
  <c r="M52" i="29"/>
  <c r="N52" i="29"/>
  <c r="M53" i="29"/>
  <c r="N53" i="29"/>
  <c r="M55" i="29"/>
  <c r="N55" i="29"/>
  <c r="M56" i="29"/>
  <c r="N56" i="29"/>
  <c r="M57" i="29"/>
  <c r="N57" i="29"/>
  <c r="M58" i="29"/>
  <c r="N58" i="29"/>
  <c r="M60" i="29"/>
  <c r="N60" i="29"/>
  <c r="M61" i="29"/>
  <c r="N61" i="29"/>
  <c r="M62" i="29"/>
  <c r="N62" i="29"/>
  <c r="M63" i="29"/>
  <c r="N63" i="29"/>
  <c r="M64" i="29"/>
  <c r="N64" i="29"/>
  <c r="M65" i="29"/>
  <c r="N65" i="29"/>
  <c r="M67" i="29"/>
  <c r="N67" i="29"/>
  <c r="M68" i="29"/>
  <c r="N68" i="29"/>
  <c r="M69" i="29"/>
  <c r="N69" i="29"/>
  <c r="M70" i="29"/>
  <c r="N70" i="29"/>
  <c r="M71" i="29"/>
  <c r="N71" i="29"/>
  <c r="M72" i="29"/>
  <c r="N72" i="29"/>
  <c r="M73" i="29"/>
  <c r="N73" i="29"/>
  <c r="M74" i="29"/>
  <c r="N74" i="29"/>
  <c r="M75" i="29"/>
  <c r="N75" i="29"/>
  <c r="M76" i="29"/>
  <c r="N76" i="29"/>
  <c r="M77" i="29"/>
  <c r="N77" i="29"/>
  <c r="M78" i="29"/>
  <c r="N78" i="29"/>
  <c r="M79" i="29"/>
  <c r="N79" i="29"/>
  <c r="M80" i="29"/>
  <c r="N80" i="29"/>
  <c r="M81" i="29"/>
  <c r="N81" i="29"/>
  <c r="M82" i="29"/>
  <c r="N82" i="29"/>
  <c r="M83" i="29"/>
  <c r="N83" i="29"/>
  <c r="M84" i="29"/>
  <c r="N84" i="29"/>
  <c r="M85" i="29"/>
  <c r="N85" i="29"/>
  <c r="M86" i="29"/>
  <c r="N86" i="29"/>
  <c r="M88" i="29"/>
  <c r="N88" i="29"/>
  <c r="M89" i="29"/>
  <c r="N89" i="29"/>
  <c r="M91" i="29"/>
  <c r="M90" i="29" s="1"/>
  <c r="N91" i="29"/>
  <c r="N90" i="29" s="1"/>
  <c r="M93" i="29"/>
  <c r="N93" i="29"/>
  <c r="M94" i="29"/>
  <c r="N94" i="29"/>
  <c r="M95" i="29"/>
  <c r="N95" i="29"/>
  <c r="N5" i="29"/>
  <c r="M5" i="29"/>
  <c r="L5" i="29"/>
  <c r="L91" i="29"/>
  <c r="L90" i="29" s="1"/>
  <c r="L70" i="29"/>
  <c r="L6" i="29"/>
  <c r="L7" i="29"/>
  <c r="L9" i="29"/>
  <c r="L10" i="29"/>
  <c r="L11" i="29"/>
  <c r="L12" i="29"/>
  <c r="L13" i="29"/>
  <c r="L14" i="29"/>
  <c r="L15" i="29"/>
  <c r="L16" i="29"/>
  <c r="L17" i="29"/>
  <c r="L18" i="29"/>
  <c r="L19" i="29"/>
  <c r="L20" i="29"/>
  <c r="L22" i="29"/>
  <c r="L23" i="29"/>
  <c r="L24" i="29"/>
  <c r="L26" i="29"/>
  <c r="L28" i="29"/>
  <c r="L29" i="29"/>
  <c r="L30" i="29"/>
  <c r="L31" i="29"/>
  <c r="L32" i="29"/>
  <c r="L34" i="29"/>
  <c r="L35" i="29"/>
  <c r="L37" i="29"/>
  <c r="L38" i="29"/>
  <c r="L39" i="29"/>
  <c r="L40" i="29"/>
  <c r="L41" i="29"/>
  <c r="L42" i="29"/>
  <c r="L44" i="29"/>
  <c r="L45" i="29"/>
  <c r="L46" i="29"/>
  <c r="L47" i="29"/>
  <c r="L49" i="29"/>
  <c r="L50" i="29"/>
  <c r="L51" i="29"/>
  <c r="L52" i="29"/>
  <c r="L53" i="29"/>
  <c r="L55" i="29"/>
  <c r="L56" i="29"/>
  <c r="L57" i="29"/>
  <c r="L58" i="29"/>
  <c r="L60" i="29"/>
  <c r="L61" i="29"/>
  <c r="L62" i="29"/>
  <c r="L63" i="29"/>
  <c r="L64" i="29"/>
  <c r="L65" i="29"/>
  <c r="L67" i="29"/>
  <c r="L68" i="29"/>
  <c r="L69" i="29"/>
  <c r="L71" i="29"/>
  <c r="L72" i="29"/>
  <c r="L73" i="29"/>
  <c r="L74" i="29"/>
  <c r="L75" i="29"/>
  <c r="L76" i="29"/>
  <c r="L77" i="29"/>
  <c r="L78" i="29"/>
  <c r="L79" i="29"/>
  <c r="L80" i="29"/>
  <c r="L81" i="29"/>
  <c r="L82" i="29"/>
  <c r="L83" i="29"/>
  <c r="L84" i="29"/>
  <c r="L85" i="29"/>
  <c r="L86" i="29"/>
  <c r="L88" i="29"/>
  <c r="L89" i="29"/>
  <c r="L93" i="29"/>
  <c r="L94" i="29"/>
  <c r="L95" i="29"/>
  <c r="H11" i="32" l="1"/>
  <c r="I11" i="32"/>
  <c r="K96" i="29"/>
  <c r="G96" i="29"/>
  <c r="I96" i="29" s="1"/>
  <c r="I103" i="38" s="1"/>
  <c r="H96" i="29"/>
  <c r="H103" i="38" s="1"/>
  <c r="L87" i="29"/>
  <c r="L33" i="29"/>
  <c r="M87" i="29"/>
  <c r="N33" i="29"/>
  <c r="L92" i="29"/>
  <c r="L54" i="29"/>
  <c r="L27" i="29"/>
  <c r="L8" i="29"/>
  <c r="N43" i="29"/>
  <c r="L43" i="29"/>
  <c r="M43" i="29"/>
  <c r="M36" i="29"/>
  <c r="L36" i="29"/>
  <c r="M48" i="29"/>
  <c r="L59" i="29"/>
  <c r="N87" i="29"/>
  <c r="N66" i="29"/>
  <c r="N54" i="29"/>
  <c r="N48" i="29"/>
  <c r="N92" i="29"/>
  <c r="N8" i="29"/>
  <c r="L48" i="29"/>
  <c r="M92" i="29"/>
  <c r="M66" i="29"/>
  <c r="M33" i="29"/>
  <c r="M8" i="29"/>
  <c r="L66" i="29"/>
  <c r="N59" i="29"/>
  <c r="N36" i="29"/>
  <c r="M59" i="29"/>
  <c r="M54" i="29"/>
  <c r="G33" i="29"/>
  <c r="I33" i="29" s="1"/>
  <c r="I28" i="38" s="1"/>
  <c r="M27" i="29"/>
  <c r="H33" i="29"/>
  <c r="H28" i="38" s="1"/>
  <c r="K33" i="29"/>
  <c r="N27" i="29"/>
  <c r="H71" i="29" l="1"/>
  <c r="G71" i="29" s="1"/>
  <c r="H72" i="29"/>
  <c r="G72" i="29" s="1"/>
  <c r="H73" i="29"/>
  <c r="G73" i="29" s="1"/>
  <c r="H74" i="29"/>
  <c r="G74" i="29" s="1"/>
  <c r="H75" i="29"/>
  <c r="G75" i="29" s="1"/>
  <c r="H76" i="29"/>
  <c r="G76" i="29" s="1"/>
  <c r="H77" i="29"/>
  <c r="G77" i="29" s="1"/>
  <c r="H78" i="29"/>
  <c r="G78" i="29" s="1"/>
  <c r="H79" i="29"/>
  <c r="G79" i="29" s="1"/>
  <c r="H80" i="29"/>
  <c r="G80" i="29" s="1"/>
  <c r="H81" i="29"/>
  <c r="G81" i="29" s="1"/>
  <c r="H82" i="29"/>
  <c r="G82" i="29" s="1"/>
  <c r="H83" i="29"/>
  <c r="G83" i="29" s="1"/>
  <c r="H84" i="29"/>
  <c r="G84" i="29" s="1"/>
  <c r="H85" i="29"/>
  <c r="G85" i="29" s="1"/>
  <c r="H86" i="29"/>
  <c r="G86" i="29" s="1"/>
  <c r="K7" i="29"/>
  <c r="K6" i="29"/>
  <c r="K5" i="29"/>
  <c r="J92" i="29"/>
  <c r="J90" i="29"/>
  <c r="J87" i="29"/>
  <c r="J59" i="29"/>
  <c r="J54" i="29"/>
  <c r="J48" i="29"/>
  <c r="J43" i="29"/>
  <c r="J36" i="29"/>
  <c r="J27" i="29"/>
  <c r="K40" i="29"/>
  <c r="K95" i="29"/>
  <c r="K94" i="29"/>
  <c r="K93" i="29"/>
  <c r="K91" i="29"/>
  <c r="K90" i="29" s="1"/>
  <c r="K89" i="29"/>
  <c r="K88" i="29"/>
  <c r="K70" i="29"/>
  <c r="K68" i="29"/>
  <c r="K67" i="29"/>
  <c r="K65" i="29"/>
  <c r="K63" i="29"/>
  <c r="K62" i="29"/>
  <c r="K61" i="29"/>
  <c r="K60" i="29"/>
  <c r="K58" i="29"/>
  <c r="K56" i="29"/>
  <c r="K55" i="29"/>
  <c r="K53" i="29"/>
  <c r="K51" i="29"/>
  <c r="K50" i="29"/>
  <c r="K49" i="29"/>
  <c r="K47" i="29"/>
  <c r="K45" i="29"/>
  <c r="K44" i="29"/>
  <c r="K42" i="29"/>
  <c r="K39" i="29"/>
  <c r="K38" i="29"/>
  <c r="K37" i="29"/>
  <c r="K32" i="29"/>
  <c r="K30" i="29"/>
  <c r="K29" i="29"/>
  <c r="K28" i="29"/>
  <c r="K24" i="29"/>
  <c r="K23" i="29"/>
  <c r="H26" i="29"/>
  <c r="G26" i="29" s="1"/>
  <c r="F9" i="32"/>
  <c r="G8" i="29"/>
  <c r="I8" i="29" s="1"/>
  <c r="I6" i="38" s="1"/>
  <c r="K8" i="29" l="1"/>
  <c r="G6" i="38"/>
  <c r="K66" i="29"/>
  <c r="K59" i="29"/>
  <c r="H24" i="29"/>
  <c r="G24" i="29" s="1"/>
  <c r="H28" i="29"/>
  <c r="G28" i="29" s="1"/>
  <c r="H40" i="29"/>
  <c r="G40" i="29" s="1"/>
  <c r="H29" i="29"/>
  <c r="G29" i="29" s="1"/>
  <c r="H62" i="29"/>
  <c r="G62" i="29" s="1"/>
  <c r="H88" i="29"/>
  <c r="G88" i="29" s="1"/>
  <c r="H50" i="29"/>
  <c r="G50" i="29" s="1"/>
  <c r="H70" i="29"/>
  <c r="G70" i="29" s="1"/>
  <c r="H30" i="29"/>
  <c r="G30" i="29" s="1"/>
  <c r="H44" i="29"/>
  <c r="G44" i="29" s="1"/>
  <c r="H53" i="29"/>
  <c r="G53" i="29" s="1"/>
  <c r="H63" i="29"/>
  <c r="G63" i="29" s="1"/>
  <c r="H89" i="29"/>
  <c r="G89" i="29" s="1"/>
  <c r="H42" i="29"/>
  <c r="G42" i="29" s="1"/>
  <c r="H32" i="29"/>
  <c r="G32" i="29" s="1"/>
  <c r="H45" i="29"/>
  <c r="G45" i="29" s="1"/>
  <c r="H55" i="29"/>
  <c r="G55" i="29" s="1"/>
  <c r="H91" i="29"/>
  <c r="G91" i="29" s="1"/>
  <c r="G90" i="29" s="1"/>
  <c r="I90" i="29" s="1"/>
  <c r="I100" i="38" s="1"/>
  <c r="H5" i="29"/>
  <c r="H3" i="38" s="1"/>
  <c r="H37" i="29"/>
  <c r="G37" i="29" s="1"/>
  <c r="H56" i="29"/>
  <c r="G56" i="29" s="1"/>
  <c r="H65" i="29"/>
  <c r="G65" i="29" s="1"/>
  <c r="H93" i="29"/>
  <c r="G93" i="29" s="1"/>
  <c r="H6" i="29"/>
  <c r="H4" i="38" s="1"/>
  <c r="H61" i="29"/>
  <c r="G61" i="29" s="1"/>
  <c r="H38" i="29"/>
  <c r="G38" i="29" s="1"/>
  <c r="H47" i="29"/>
  <c r="G47" i="29" s="1"/>
  <c r="H67" i="29"/>
  <c r="G67" i="29" s="1"/>
  <c r="H94" i="29"/>
  <c r="G94" i="29" s="1"/>
  <c r="H7" i="29"/>
  <c r="H5" i="38" s="1"/>
  <c r="H60" i="29"/>
  <c r="G60" i="29" s="1"/>
  <c r="H51" i="29"/>
  <c r="G51" i="29" s="1"/>
  <c r="H23" i="29"/>
  <c r="G23" i="29" s="1"/>
  <c r="H39" i="29"/>
  <c r="G39" i="29" s="1"/>
  <c r="H49" i="29"/>
  <c r="G49" i="29" s="1"/>
  <c r="H58" i="29"/>
  <c r="G58" i="29" s="1"/>
  <c r="H68" i="29"/>
  <c r="G68" i="29" s="1"/>
  <c r="H95" i="29"/>
  <c r="G95" i="29" s="1"/>
  <c r="K48" i="29"/>
  <c r="K43" i="29"/>
  <c r="K87" i="29"/>
  <c r="K36" i="29"/>
  <c r="K54" i="29"/>
  <c r="K27" i="29"/>
  <c r="K92" i="29"/>
  <c r="H22" i="29"/>
  <c r="G6" i="29" l="1"/>
  <c r="I6" i="29" s="1"/>
  <c r="I4" i="38" s="1"/>
  <c r="G7" i="29"/>
  <c r="I7" i="29" s="1"/>
  <c r="I5" i="38" s="1"/>
  <c r="G27" i="29"/>
  <c r="I27" i="29" s="1"/>
  <c r="I20" i="38" s="1"/>
  <c r="G5" i="29"/>
  <c r="I5" i="29" s="1"/>
  <c r="I3" i="38" s="1"/>
  <c r="H27" i="29"/>
  <c r="H20" i="38" s="1"/>
  <c r="H66" i="29"/>
  <c r="H76" i="38" s="1"/>
  <c r="G54" i="29"/>
  <c r="I54" i="29" s="1"/>
  <c r="I60" i="38" s="1"/>
  <c r="G92" i="29"/>
  <c r="H48" i="29"/>
  <c r="H52" i="38" s="1"/>
  <c r="G43" i="29"/>
  <c r="I43" i="29" s="1"/>
  <c r="I45" i="38" s="1"/>
  <c r="G87" i="29"/>
  <c r="I87" i="29" s="1"/>
  <c r="I97" i="38" s="1"/>
  <c r="H90" i="29"/>
  <c r="H100" i="38" s="1"/>
  <c r="G36" i="29"/>
  <c r="I36" i="29" s="1"/>
  <c r="I36" i="38" s="1"/>
  <c r="H92" i="29"/>
  <c r="G59" i="29"/>
  <c r="I59" i="29" s="1"/>
  <c r="I67" i="38" s="1"/>
  <c r="G48" i="29"/>
  <c r="I48" i="29" s="1"/>
  <c r="I52" i="38" s="1"/>
  <c r="G66" i="29"/>
  <c r="I66" i="29" s="1"/>
  <c r="I76" i="38" s="1"/>
  <c r="H59" i="29"/>
  <c r="H67" i="38" s="1"/>
  <c r="H43" i="29"/>
  <c r="H45" i="38" s="1"/>
  <c r="H36" i="29"/>
  <c r="H36" i="38" s="1"/>
  <c r="H54" i="29"/>
  <c r="H60" i="38" s="1"/>
  <c r="H87" i="29"/>
  <c r="H97" i="38" s="1"/>
  <c r="G22" i="29"/>
  <c r="I92" i="29" l="1"/>
  <c r="H102" i="38"/>
  <c r="H9" i="29"/>
  <c r="H10" i="29"/>
  <c r="H11" i="29"/>
  <c r="H12" i="29"/>
  <c r="H14" i="29"/>
  <c r="H15" i="29"/>
  <c r="H16" i="29"/>
  <c r="H17" i="29"/>
  <c r="H18" i="29"/>
  <c r="H19" i="29"/>
  <c r="H20" i="29"/>
  <c r="F19" i="32"/>
  <c r="G19" i="32"/>
  <c r="F20" i="32"/>
  <c r="H20" i="32" s="1"/>
  <c r="G20" i="32"/>
  <c r="F21" i="32"/>
  <c r="G21" i="32"/>
  <c r="G18" i="32"/>
  <c r="F18" i="32"/>
  <c r="H18" i="32" s="1"/>
  <c r="G23" i="32"/>
  <c r="F23" i="32"/>
  <c r="H23" i="32" s="1"/>
  <c r="G16" i="32"/>
  <c r="F16" i="32"/>
  <c r="F24" i="32"/>
  <c r="G15" i="32"/>
  <c r="F15" i="32"/>
  <c r="H15" i="32" s="1"/>
  <c r="G13" i="32"/>
  <c r="F13" i="32"/>
  <c r="H13" i="32" s="1"/>
  <c r="G14" i="32"/>
  <c r="F14" i="32"/>
  <c r="H14" i="32" s="1"/>
  <c r="F8" i="32"/>
  <c r="H19" i="32" l="1"/>
  <c r="H21" i="32"/>
  <c r="H8" i="32"/>
  <c r="H16" i="32"/>
  <c r="I102" i="38"/>
  <c r="I21" i="32"/>
  <c r="I20" i="32"/>
  <c r="I19" i="32"/>
  <c r="G7" i="32"/>
  <c r="F7" i="32"/>
  <c r="F12" i="32"/>
  <c r="G12" i="32"/>
  <c r="G8" i="32"/>
  <c r="G9" i="32"/>
  <c r="H9" i="32" s="1"/>
  <c r="I8" i="32" l="1"/>
  <c r="H7" i="32"/>
  <c r="H12" i="32"/>
  <c r="I12" i="32"/>
  <c r="I9" i="32"/>
  <c r="I16" i="32"/>
  <c r="I15" i="32" l="1"/>
  <c r="F10" i="32"/>
  <c r="H10" i="32" s="1"/>
  <c r="G10" i="32"/>
  <c r="G17" i="32"/>
  <c r="H17" i="32" s="1"/>
  <c r="G22" i="32"/>
  <c r="F22" i="32"/>
  <c r="H22" i="32" s="1"/>
  <c r="G4" i="32"/>
  <c r="F4" i="32"/>
  <c r="H4" i="32" s="1"/>
  <c r="G24" i="32"/>
  <c r="G6" i="32"/>
  <c r="G5" i="32"/>
  <c r="G3" i="32"/>
  <c r="G2" i="32"/>
  <c r="F6" i="32"/>
  <c r="H6" i="32" s="1"/>
  <c r="F5" i="32"/>
  <c r="H5" i="32" s="1"/>
  <c r="F3" i="32"/>
  <c r="H3" i="32" s="1"/>
  <c r="F2" i="32"/>
  <c r="I23" i="32" l="1"/>
  <c r="H24" i="32"/>
  <c r="G25" i="32"/>
  <c r="F25" i="32"/>
  <c r="H25" i="32" s="1"/>
  <c r="I17" i="32"/>
  <c r="I24" i="32"/>
  <c r="H2" i="32"/>
  <c r="I2" i="32" s="1"/>
  <c r="I14" i="32"/>
  <c r="I7" i="32"/>
  <c r="I22" i="32"/>
  <c r="I13" i="32"/>
  <c r="I10" i="32"/>
  <c r="I5" i="32"/>
  <c r="I4" i="32"/>
  <c r="I6" i="32"/>
  <c r="I3" i="32"/>
  <c r="I18" i="32"/>
  <c r="I15" i="25"/>
  <c r="I25" i="32" l="1"/>
  <c r="J31" i="25" l="1"/>
  <c r="I31" i="25"/>
  <c r="K33" i="25"/>
  <c r="L33" i="25" s="1"/>
  <c r="M33" i="25" l="1"/>
  <c r="H8" i="29" l="1"/>
  <c r="I37" i="25"/>
  <c r="J26" i="25"/>
  <c r="H6" i="38" l="1"/>
  <c r="I35" i="25"/>
  <c r="I10" i="25"/>
  <c r="K67" i="25"/>
  <c r="L67" i="25" s="1"/>
  <c r="M67" i="25" s="1"/>
  <c r="L66" i="25"/>
  <c r="L65" i="25"/>
  <c r="M65" i="25" s="1"/>
  <c r="L64" i="25"/>
  <c r="M64" i="25" s="1"/>
  <c r="L63" i="25"/>
  <c r="M63" i="25" s="1"/>
  <c r="L62" i="25"/>
  <c r="M62" i="25" s="1"/>
  <c r="L61" i="25"/>
  <c r="M61" i="25" s="1"/>
  <c r="L60" i="25"/>
  <c r="M60" i="25" s="1"/>
  <c r="L59" i="25"/>
  <c r="M59" i="25" s="1"/>
  <c r="L58" i="25"/>
  <c r="M58" i="25" s="1"/>
  <c r="L57" i="25"/>
  <c r="M57" i="25" s="1"/>
  <c r="L56" i="25"/>
  <c r="M56" i="25" s="1"/>
  <c r="L55" i="25"/>
  <c r="M55" i="25" s="1"/>
  <c r="L54" i="25"/>
  <c r="M54" i="25" s="1"/>
  <c r="L53" i="25"/>
  <c r="M53" i="25" s="1"/>
  <c r="L52" i="25"/>
  <c r="M52" i="25" s="1"/>
  <c r="L51" i="25"/>
  <c r="M51" i="25" s="1"/>
  <c r="L50" i="25"/>
  <c r="M50" i="25" s="1"/>
  <c r="L49" i="25"/>
  <c r="M49" i="25" s="1"/>
  <c r="L48" i="25"/>
  <c r="M48" i="25" s="1"/>
  <c r="L47" i="25"/>
  <c r="M47" i="25" s="1"/>
  <c r="L46" i="25"/>
  <c r="M46" i="25" s="1"/>
  <c r="L45" i="25"/>
  <c r="M45" i="25" s="1"/>
  <c r="L44" i="25"/>
  <c r="M44" i="25" s="1"/>
  <c r="L43" i="25"/>
  <c r="M43" i="25" s="1"/>
  <c r="L42" i="25"/>
  <c r="M42" i="25" s="1"/>
  <c r="L41" i="25"/>
  <c r="M41" i="25" s="1"/>
  <c r="L40" i="25"/>
  <c r="M40" i="25" s="1"/>
  <c r="L39" i="25"/>
  <c r="M39" i="25" s="1"/>
  <c r="L37" i="25"/>
  <c r="M37" i="25" s="1"/>
  <c r="K36" i="25"/>
  <c r="L36" i="25" s="1"/>
  <c r="M36" i="25" s="1"/>
  <c r="I36" i="25"/>
  <c r="L35" i="25"/>
  <c r="M35" i="25" s="1"/>
  <c r="L31" i="25"/>
  <c r="L30" i="25"/>
  <c r="M30" i="25" s="1"/>
  <c r="L26" i="25"/>
  <c r="L25" i="25"/>
  <c r="M25" i="25" s="1"/>
  <c r="L24" i="25"/>
  <c r="M24" i="25" s="1"/>
  <c r="L23" i="25"/>
  <c r="M23" i="25" s="1"/>
  <c r="L22" i="25"/>
  <c r="M22" i="25" s="1"/>
  <c r="L20" i="25"/>
  <c r="J20" i="25"/>
  <c r="L19" i="25"/>
  <c r="M19" i="25" s="1"/>
  <c r="K17" i="25"/>
  <c r="L17" i="25" s="1"/>
  <c r="J17" i="25"/>
  <c r="I17" i="25" s="1"/>
  <c r="L15" i="25"/>
  <c r="M15" i="25" s="1"/>
  <c r="M13" i="25"/>
  <c r="M12" i="25"/>
  <c r="L11" i="25"/>
  <c r="M11" i="25" s="1"/>
  <c r="L10" i="25"/>
  <c r="M10" i="25" s="1"/>
  <c r="M9" i="25"/>
  <c r="M8" i="25"/>
  <c r="L7" i="25"/>
  <c r="M7" i="25" s="1"/>
  <c r="M5" i="25"/>
  <c r="L4" i="25"/>
  <c r="M4" i="25" s="1"/>
  <c r="M3" i="25"/>
  <c r="M2" i="25"/>
  <c r="I70" i="25" l="1"/>
  <c r="M31" i="25"/>
  <c r="M26" i="25"/>
  <c r="M20" i="25"/>
  <c r="M17" i="25"/>
  <c r="J70" i="25"/>
  <c r="H68" i="25" l="1"/>
  <c r="H69" i="25"/>
  <c r="H38" i="25"/>
  <c r="H33" i="25"/>
  <c r="I72" i="25"/>
  <c r="H17" i="25"/>
  <c r="H56" i="25"/>
  <c r="H48" i="25"/>
  <c r="H40" i="25"/>
  <c r="H19" i="25"/>
  <c r="H11" i="25"/>
  <c r="H30" i="25"/>
  <c r="H6" i="25"/>
  <c r="J71" i="25"/>
  <c r="H61" i="25"/>
  <c r="H53" i="25"/>
  <c r="H45" i="25"/>
  <c r="H22" i="25"/>
  <c r="H15" i="25"/>
  <c r="H58" i="25"/>
  <c r="H50" i="25"/>
  <c r="H42" i="25"/>
  <c r="H7" i="25"/>
  <c r="H55" i="25"/>
  <c r="H47" i="25"/>
  <c r="H39" i="25"/>
  <c r="H10" i="25"/>
  <c r="H66" i="25"/>
  <c r="H60" i="25"/>
  <c r="H52" i="25"/>
  <c r="H44" i="25"/>
  <c r="H36" i="25"/>
  <c r="H57" i="25"/>
  <c r="H49" i="25"/>
  <c r="H41" i="25"/>
  <c r="H9" i="25"/>
  <c r="H5" i="25"/>
  <c r="H54" i="25"/>
  <c r="H46" i="25"/>
  <c r="H23" i="25"/>
  <c r="H62" i="25"/>
  <c r="H67" i="25"/>
  <c r="H65" i="25"/>
  <c r="H51" i="25"/>
  <c r="H43" i="25"/>
  <c r="H37" i="25"/>
  <c r="H35" i="25"/>
  <c r="H31" i="25"/>
  <c r="H26" i="25"/>
  <c r="H8" i="25"/>
  <c r="H20" i="25"/>
  <c r="D31" i="24" l="1"/>
  <c r="D15" i="24"/>
  <c r="C25" i="24"/>
  <c r="C24" i="24"/>
  <c r="D24" i="24" s="1"/>
  <c r="C21" i="24"/>
  <c r="D21" i="24" s="1"/>
  <c r="C20" i="24"/>
  <c r="D20" i="24" s="1"/>
  <c r="D29" i="24"/>
  <c r="D28" i="24"/>
  <c r="C28" i="24"/>
  <c r="D27" i="24"/>
  <c r="D26" i="24"/>
  <c r="D25" i="24"/>
  <c r="D23" i="24"/>
  <c r="D22" i="24"/>
  <c r="D19" i="24"/>
  <c r="D4" i="24"/>
  <c r="D5" i="24"/>
  <c r="D6" i="24"/>
  <c r="D7" i="24"/>
  <c r="D9" i="24"/>
  <c r="D10" i="24"/>
  <c r="D11" i="24"/>
  <c r="D13" i="24"/>
  <c r="D3" i="24"/>
  <c r="C12" i="24"/>
  <c r="D12" i="24" s="1"/>
  <c r="C8" i="24"/>
  <c r="D8" i="24" s="1"/>
  <c r="D30" i="24" l="1"/>
  <c r="D14" i="24"/>
  <c r="H21" i="29"/>
  <c r="H100" i="29" s="1"/>
  <c r="N25" i="29"/>
  <c r="N21" i="29" s="1"/>
  <c r="K21" i="29"/>
  <c r="M25" i="29"/>
  <c r="M21" i="29" s="1"/>
  <c r="J21" i="29"/>
  <c r="L25" i="29"/>
  <c r="L21" i="29" s="1"/>
  <c r="H19" i="38" l="1"/>
  <c r="G21" i="29"/>
  <c r="G100" i="29" s="1"/>
  <c r="I21" i="29" l="1"/>
  <c r="I100" i="29" s="1"/>
  <c r="I19" i="38" l="1"/>
  <c r="L100" i="29"/>
  <c r="M100" i="29"/>
  <c r="N100" i="29"/>
  <c r="G20" i="49"/>
  <c r="E20" i="49" s="1"/>
  <c r="G9" i="49"/>
  <c r="E9" i="49" s="1"/>
  <c r="G16" i="49"/>
  <c r="E16" i="49" s="1"/>
  <c r="G10" i="49"/>
  <c r="E10" i="49" s="1"/>
  <c r="G17" i="49"/>
  <c r="E17" i="49" s="1"/>
  <c r="G11" i="49"/>
  <c r="E11" i="49" s="1"/>
  <c r="G14" i="49"/>
  <c r="E14" i="49" s="1"/>
  <c r="G12" i="49"/>
  <c r="E12" i="49" s="1"/>
  <c r="G15" i="49"/>
  <c r="E15" i="49" s="1"/>
  <c r="G18" i="49"/>
  <c r="E18" i="49" s="1"/>
  <c r="G19" i="49"/>
  <c r="E19" i="49" s="1"/>
  <c r="F10" i="49" l="1"/>
  <c r="I10" i="49"/>
  <c r="F15" i="49"/>
  <c r="I15" i="49"/>
  <c r="F20" i="49"/>
  <c r="I20" i="49"/>
  <c r="F9" i="49"/>
  <c r="I9" i="49"/>
  <c r="F14" i="49"/>
  <c r="I14" i="49"/>
  <c r="F11" i="49"/>
  <c r="I11" i="49"/>
  <c r="F17" i="49"/>
  <c r="I17" i="49"/>
  <c r="F12" i="49"/>
  <c r="I12" i="49"/>
  <c r="F16" i="49"/>
  <c r="I16" i="49"/>
  <c r="F19" i="49"/>
  <c r="I19" i="49"/>
  <c r="F18" i="49"/>
  <c r="I18" i="49"/>
  <c r="I113" i="49"/>
  <c r="E113" i="49"/>
  <c r="F113" i="49"/>
  <c r="I70" i="49"/>
  <c r="H134" i="49"/>
  <c r="I134" i="49"/>
  <c r="L70" i="49"/>
  <c r="G70" i="49"/>
  <c r="E70" i="49"/>
  <c r="F70" i="49"/>
  <c r="I8" i="49"/>
  <c r="H133" i="49"/>
  <c r="I133" i="49"/>
  <c r="L8" i="49"/>
  <c r="G8" i="49"/>
  <c r="E8" i="49"/>
  <c r="F8" i="49"/>
  <c r="O113" i="49"/>
  <c r="N113" i="49"/>
  <c r="M113" i="49"/>
  <c r="G113" i="49"/>
  <c r="P113" i="49"/>
  <c r="F72" i="49"/>
  <c r="L72" i="49"/>
  <c r="G72" i="49"/>
  <c r="E72" i="49"/>
  <c r="I72"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MASTRONARDI Alessandro</author>
  </authors>
  <commentList>
    <comment ref="I2" authorId="0" shapeId="0" xr:uid="{DD3794BE-E4D4-41A6-BD84-E377DC5C3560}">
      <text>
        <r>
          <rPr>
            <b/>
            <sz val="9"/>
            <color indexed="81"/>
            <rFont val="Tahoma"/>
            <family val="2"/>
          </rPr>
          <t>MASTRONARDI Alessandro:</t>
        </r>
        <r>
          <rPr>
            <sz val="9"/>
            <color indexed="81"/>
            <rFont val="Tahoma"/>
            <family val="2"/>
          </rPr>
          <t xml:space="preserve">
quoted by project
Lambda converter development</t>
        </r>
      </text>
    </comment>
    <comment ref="J23" authorId="0" shapeId="0" xr:uid="{C3FBA2B5-B1A8-4D2C-8CE8-8BD245200448}">
      <text>
        <r>
          <rPr>
            <b/>
            <sz val="9"/>
            <color indexed="81"/>
            <rFont val="Tahoma"/>
            <family val="2"/>
          </rPr>
          <t>MASTRONARDI Alessandro:</t>
        </r>
        <r>
          <rPr>
            <sz val="9"/>
            <color indexed="81"/>
            <rFont val="Tahoma"/>
            <family val="2"/>
          </rPr>
          <t xml:space="preserve">
Quoted by Project</t>
        </r>
      </text>
    </comment>
    <comment ref="J24" authorId="0" shapeId="0" xr:uid="{571A703F-7892-41E2-B5F1-F6465065F8E3}">
      <text>
        <r>
          <rPr>
            <b/>
            <sz val="9"/>
            <color indexed="81"/>
            <rFont val="Tahoma"/>
            <family val="2"/>
          </rPr>
          <t>MASTRONARDI Alessandro:</t>
        </r>
        <r>
          <rPr>
            <sz val="9"/>
            <color indexed="81"/>
            <rFont val="Tahoma"/>
            <family val="2"/>
          </rPr>
          <t xml:space="preserve">
quoted by project</t>
        </r>
      </text>
    </comment>
    <comment ref="K26" authorId="0" shapeId="0" xr:uid="{FF8A40D8-51EB-4673-AD8C-84DBFB4E7634}">
      <text>
        <r>
          <rPr>
            <b/>
            <sz val="9"/>
            <color indexed="81"/>
            <rFont val="Tahoma"/>
            <family val="2"/>
          </rPr>
          <t>MASTRONARDI Alessandro:</t>
        </r>
        <r>
          <rPr>
            <sz val="9"/>
            <color indexed="81"/>
            <rFont val="Tahoma"/>
            <family val="2"/>
          </rPr>
          <t xml:space="preserve">
BC WEBGUI in ppt</t>
        </r>
      </text>
    </comment>
    <comment ref="J60" authorId="0" shapeId="0" xr:uid="{EB9851E8-2D0E-4574-A791-8E9181E17BF6}">
      <text>
        <r>
          <rPr>
            <b/>
            <sz val="9"/>
            <color indexed="81"/>
            <rFont val="Tahoma"/>
            <family val="2"/>
          </rPr>
          <t>MASTRONARDI Alessandro:</t>
        </r>
        <r>
          <rPr>
            <sz val="9"/>
            <color indexed="81"/>
            <rFont val="Tahoma"/>
            <family val="2"/>
          </rPr>
          <t xml:space="preserve">
quoted by Project
</t>
        </r>
      </text>
    </comment>
    <comment ref="J61" authorId="0" shapeId="0" xr:uid="{D94E157C-581D-4FD1-8355-453EEAA145F7}">
      <text>
        <r>
          <rPr>
            <b/>
            <sz val="9"/>
            <color indexed="81"/>
            <rFont val="Tahoma"/>
            <family val="2"/>
          </rPr>
          <t>MASTRONARDI Alessandro:</t>
        </r>
        <r>
          <rPr>
            <sz val="9"/>
            <color indexed="81"/>
            <rFont val="Tahoma"/>
            <family val="2"/>
          </rPr>
          <t xml:space="preserve">
quoted by Project
</t>
        </r>
      </text>
    </comment>
    <comment ref="J62" authorId="0" shapeId="0" xr:uid="{08835DAB-2C43-4123-A37C-D88FC43C294B}">
      <text>
        <r>
          <rPr>
            <b/>
            <sz val="9"/>
            <color indexed="81"/>
            <rFont val="Tahoma"/>
            <family val="2"/>
          </rPr>
          <t>MASTRONARDI Alessandro:</t>
        </r>
        <r>
          <rPr>
            <sz val="9"/>
            <color indexed="81"/>
            <rFont val="Tahoma"/>
            <family val="2"/>
          </rPr>
          <t xml:space="preserve">
Generic application impacts only project side.
Program impacts already taken into accoun in line 34 
</t>
        </r>
      </text>
    </comment>
    <comment ref="K67" authorId="0" shapeId="0" xr:uid="{ADFA5E35-AC9B-4AED-95B2-F6C2DABE93C0}">
      <text>
        <r>
          <rPr>
            <b/>
            <sz val="9"/>
            <color indexed="81"/>
            <rFont val="Tahoma"/>
            <family val="2"/>
          </rPr>
          <t>MASTRONARDI Alessandro:</t>
        </r>
        <r>
          <rPr>
            <sz val="9"/>
            <color indexed="81"/>
            <rFont val="Tahoma"/>
            <family val="2"/>
          </rPr>
          <t xml:space="preserve">
Authority related to time + ppt RunTime Train Restriction + NTL HUB view + EGO algorithm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MASTRONARDI Alessandro</author>
  </authors>
  <commentList>
    <comment ref="B12" authorId="0" shapeId="0" xr:uid="{C7B1F486-26EA-42C9-A890-03EBAFDCFAC8}">
      <text>
        <r>
          <rPr>
            <b/>
            <sz val="9"/>
            <color indexed="81"/>
            <rFont val="Tahoma"/>
            <family val="2"/>
          </rPr>
          <t>MASTRONARDI Alessandro:</t>
        </r>
        <r>
          <rPr>
            <sz val="9"/>
            <color indexed="81"/>
            <rFont val="Tahoma"/>
            <family val="2"/>
          </rPr>
          <t xml:space="preserve">
out from Modularization step2</t>
        </r>
      </text>
    </comment>
    <comment ref="F21" authorId="0" shapeId="0" xr:uid="{4675A14C-6D3D-452B-B168-00D3751134D7}">
      <text>
        <r>
          <rPr>
            <b/>
            <sz val="9"/>
            <color indexed="81"/>
            <rFont val="Tahoma"/>
            <family val="2"/>
          </rPr>
          <t>MASTRONARDI Alessandro:</t>
        </r>
        <r>
          <rPr>
            <sz val="9"/>
            <color indexed="81"/>
            <rFont val="Tahoma"/>
            <family val="2"/>
          </rPr>
          <t xml:space="preserve">
Note: possession Picop implemented in 8 months of Development 
</t>
        </r>
      </text>
    </comment>
    <comment ref="F24" authorId="0" shapeId="0" xr:uid="{C4BF4D09-CEA7-4263-801B-2266E2A92E2B}">
      <text>
        <r>
          <rPr>
            <b/>
            <sz val="9"/>
            <color indexed="81"/>
            <rFont val="Tahoma"/>
            <family val="2"/>
          </rPr>
          <t>MASTRONARDI Alessandro:</t>
        </r>
        <r>
          <rPr>
            <sz val="9"/>
            <color indexed="81"/>
            <rFont val="Tahoma"/>
            <family val="2"/>
          </rPr>
          <t xml:space="preserve">
same Mask from picop</t>
        </r>
      </text>
    </comment>
    <comment ref="E85" authorId="0" shapeId="0" xr:uid="{1B3149ED-2E9D-45F2-B912-F1F121F0C28D}">
      <text>
        <r>
          <rPr>
            <b/>
            <sz val="9"/>
            <color indexed="81"/>
            <rFont val="Tahoma"/>
            <family val="2"/>
          </rPr>
          <t>MASTRONARDI Alessandro:</t>
        </r>
        <r>
          <rPr>
            <sz val="9"/>
            <color indexed="81"/>
            <rFont val="Tahoma"/>
            <family val="2"/>
          </rPr>
          <t xml:space="preserve">
possibility to descope under analysis</t>
        </r>
      </text>
    </comment>
    <comment ref="E87" authorId="0" shapeId="0" xr:uid="{24469478-4394-4F00-B847-A9D8BC93413F}">
      <text>
        <r>
          <rPr>
            <b/>
            <sz val="9"/>
            <color indexed="81"/>
            <rFont val="Tahoma"/>
            <family val="2"/>
          </rPr>
          <t>MASTRONARDI Alessandro:</t>
        </r>
        <r>
          <rPr>
            <sz val="9"/>
            <color indexed="81"/>
            <rFont val="Tahoma"/>
            <family val="2"/>
          </rPr>
          <t xml:space="preserve">
possible descope analysis ongoing</t>
        </r>
      </text>
    </comment>
    <comment ref="R118" authorId="0" shapeId="0" xr:uid="{E604E1F6-9C26-48F6-B8C4-591D4C87EC49}">
      <text>
        <r>
          <rPr>
            <b/>
            <sz val="9"/>
            <color indexed="81"/>
            <rFont val="Tahoma"/>
            <family val="2"/>
          </rPr>
          <t>MASTRONARDI Alessandro:</t>
        </r>
        <r>
          <rPr>
            <sz val="9"/>
            <color indexed="81"/>
            <rFont val="Tahoma"/>
            <family val="2"/>
          </rPr>
          <t xml:space="preserve">
correction to align with Hervé estimation
</t>
        </r>
      </text>
    </comment>
    <comment ref="S118" authorId="0" shapeId="0" xr:uid="{C947A2F3-F799-48C4-85CD-2D02A2C2EB25}">
      <text>
        <r>
          <rPr>
            <b/>
            <sz val="9"/>
            <color indexed="81"/>
            <rFont val="Tahoma"/>
            <family val="2"/>
          </rPr>
          <t>MASTRONARDI Alessandro:</t>
        </r>
        <r>
          <rPr>
            <sz val="9"/>
            <color indexed="81"/>
            <rFont val="Tahoma"/>
            <family val="2"/>
          </rPr>
          <t xml:space="preserve">
Correction to align with Hervé esteem
</t>
        </r>
      </text>
    </comment>
    <comment ref="T118" authorId="0" shapeId="0" xr:uid="{B4E2C1F9-9A34-43B3-B4BA-A405FF85D2DE}">
      <text>
        <r>
          <rPr>
            <b/>
            <sz val="9"/>
            <color indexed="81"/>
            <rFont val="Tahoma"/>
            <family val="2"/>
          </rPr>
          <t>MASTRONARDI Alessandro:</t>
        </r>
        <r>
          <rPr>
            <sz val="9"/>
            <color indexed="81"/>
            <rFont val="Tahoma"/>
            <family val="2"/>
          </rPr>
          <t xml:space="preserve">
Correction to align with hervé esteem
</t>
        </r>
      </text>
    </comment>
    <comment ref="U118" authorId="0" shapeId="0" xr:uid="{1C5C3463-DD05-4D7A-95E7-CB698EBBF792}">
      <text>
        <r>
          <rPr>
            <b/>
            <sz val="9"/>
            <color indexed="81"/>
            <rFont val="Tahoma"/>
            <family val="2"/>
          </rPr>
          <t>MASTRONARDI Alessandro:</t>
        </r>
        <r>
          <rPr>
            <sz val="9"/>
            <color indexed="81"/>
            <rFont val="Tahoma"/>
            <family val="2"/>
          </rPr>
          <t xml:space="preserve">
Correction to align with Hervé estimation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MASTRONARDI Alessandro</author>
  </authors>
  <commentList>
    <comment ref="B12" authorId="0" shapeId="0" xr:uid="{947576A6-C13D-4739-BCD7-A12BB9B9F859}">
      <text>
        <r>
          <rPr>
            <b/>
            <sz val="9"/>
            <color indexed="81"/>
            <rFont val="Tahoma"/>
            <family val="2"/>
          </rPr>
          <t>MASTRONARDI Alessandro:</t>
        </r>
        <r>
          <rPr>
            <sz val="9"/>
            <color indexed="81"/>
            <rFont val="Tahoma"/>
            <family val="2"/>
          </rPr>
          <t xml:space="preserve">
out from Modularization step2</t>
        </r>
      </text>
    </comment>
    <comment ref="F21" authorId="0" shapeId="0" xr:uid="{462285D7-46F8-4455-9647-F2BEE1BDD626}">
      <text>
        <r>
          <rPr>
            <b/>
            <sz val="9"/>
            <color indexed="81"/>
            <rFont val="Tahoma"/>
            <family val="2"/>
          </rPr>
          <t>MASTRONARDI Alessandro:</t>
        </r>
        <r>
          <rPr>
            <sz val="9"/>
            <color indexed="81"/>
            <rFont val="Tahoma"/>
            <family val="2"/>
          </rPr>
          <t xml:space="preserve">
Note: possession Picop implemented in 8 months of Development 
</t>
        </r>
      </text>
    </comment>
    <comment ref="F24" authorId="0" shapeId="0" xr:uid="{1C42F7EF-2F9D-43B7-BBDC-32F4553A5428}">
      <text>
        <r>
          <rPr>
            <b/>
            <sz val="9"/>
            <color indexed="81"/>
            <rFont val="Tahoma"/>
            <family val="2"/>
          </rPr>
          <t>MASTRONARDI Alessandro:</t>
        </r>
        <r>
          <rPr>
            <sz val="9"/>
            <color indexed="81"/>
            <rFont val="Tahoma"/>
            <family val="2"/>
          </rPr>
          <t xml:space="preserve">
same Mask from picop</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F2AEAF-B9E3-4421-8301-C6CCDBE359BE}" keepAlive="1" name="Query - RMTable" description="Connection to the 'RMTable' query in the workbook." type="5" refreshedVersion="0" background="1">
    <dbPr connection="Provider=Microsoft.Mashup.OleDb.1;Data Source=$Workbook$;Location=RMTable;Extended Properties=&quot;&quot;" command="SELECT * FROM [RM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<sst xmlns="http://schemas.openxmlformats.org/spreadsheetml/2006/main" count="4674" uniqueCount="712">
  <si>
    <t>Type</t>
  </si>
  <si>
    <t>Roadmap Item</t>
  </si>
  <si>
    <t>TD</t>
  </si>
  <si>
    <t>State</t>
  </si>
  <si>
    <t>Impact analysis</t>
  </si>
  <si>
    <t>Notes</t>
  </si>
  <si>
    <t>Plan B [man-hours]</t>
  </si>
  <si>
    <t>Plan A [man-hours]</t>
  </si>
  <si>
    <t>PPT NTL Budget
 [Man Days]</t>
  </si>
  <si>
    <t>PPT NTL Budget 
 [Man Hours]</t>
  </si>
  <si>
    <t>Compare 
PrSAA VS PM Plan A</t>
  </si>
  <si>
    <t>Funtional Breakdown to be covered</t>
  </si>
  <si>
    <t>STEP2</t>
  </si>
  <si>
    <t>RICT</t>
  </si>
  <si>
    <t>ICONIS-EBICOS unique tool</t>
  </si>
  <si>
    <t>YES</t>
  </si>
  <si>
    <t>More scope</t>
  </si>
  <si>
    <t>-</t>
  </si>
  <si>
    <t>Data Lifecycle</t>
  </si>
  <si>
    <t>No Gap</t>
  </si>
  <si>
    <t>C.7.1 Körorder - Safety Orders (Standalone)</t>
  </si>
  <si>
    <t>RICT project management</t>
  </si>
  <si>
    <t>J.8.1 Partially integrated Technician Tools
Moved to Maintenance?</t>
  </si>
  <si>
    <t>STEP1</t>
  </si>
  <si>
    <t>System to System Integration ICONIS</t>
  </si>
  <si>
    <t>Functional</t>
  </si>
  <si>
    <t xml:space="preserve"> Management of Krorder Safety Orders</t>
  </si>
  <si>
    <t>TBD</t>
  </si>
  <si>
    <t>Tech tool</t>
  </si>
  <si>
    <t>tech. Tool ICONIS - EBICOS Integration</t>
  </si>
  <si>
    <t>to be checked with Hervé</t>
  </si>
  <si>
    <t>Is for maintenance . We should descope as tech tools should address now 2 systems (Then more complex)</t>
  </si>
  <si>
    <t>J.6.1 Partially integrated HMI / Login and Territory Assignement</t>
  </si>
  <si>
    <t>Should be analysed jointly</t>
  </si>
  <si>
    <t>Full client ICONIS - EBICOS Integration</t>
  </si>
  <si>
    <t>J.7.1 Fully integrated HMI
Moved to maintenance?</t>
  </si>
  <si>
    <t>Nothing planned apart line 8</t>
  </si>
  <si>
    <t>STAGE1</t>
  </si>
  <si>
    <t>MVP5</t>
  </si>
  <si>
    <t>in Grooming</t>
  </si>
  <si>
    <t>Removed</t>
  </si>
  <si>
    <t xml:space="preserve">Territory Assignment adaption </t>
  </si>
  <si>
    <r>
      <t>Merged inside line</t>
    </r>
    <r>
      <rPr>
        <sz val="11"/>
        <color rgb="FFFF0000"/>
        <rFont val="Calibri"/>
        <family val="2"/>
        <scheme val="minor"/>
      </rPr>
      <t xml:space="preserve"> 7</t>
    </r>
  </si>
  <si>
    <t>MVP6</t>
  </si>
  <si>
    <t>Digital possession and safety notes</t>
  </si>
  <si>
    <t>In Progress</t>
  </si>
  <si>
    <t>no gap</t>
  </si>
  <si>
    <t>Extended PEF</t>
  </si>
  <si>
    <t>In Pre-Design</t>
  </si>
  <si>
    <t>Conflict Detection</t>
  </si>
  <si>
    <t>Pending IOT</t>
  </si>
  <si>
    <t>Ext. Interface</t>
  </si>
  <si>
    <t>MPK (possession)</t>
  </si>
  <si>
    <t xml:space="preserve"> [31/05] Ext. Intefraces can be removed</t>
  </si>
  <si>
    <t>C.2.2	MPK - Import Track Possession Plan
Moved to maintenance</t>
  </si>
  <si>
    <t>Krorder</t>
  </si>
  <si>
    <t>[31/05] Ext. Intefraces can be removed</t>
  </si>
  <si>
    <t>To move to maintenance
C7.2	Import Körorder</t>
  </si>
  <si>
    <t>Generic Application</t>
  </si>
  <si>
    <t>NO</t>
  </si>
  <si>
    <t>HMI mimic automation</t>
  </si>
  <si>
    <t>Improve automation</t>
  </si>
  <si>
    <t>3 Nodes Solution</t>
  </si>
  <si>
    <t>BC Offline Services Support</t>
  </si>
  <si>
    <t>Realized</t>
  </si>
  <si>
    <t>BC External Interface Support</t>
  </si>
  <si>
    <t>E.1.3	Geo Redundancy - Management of External Interfaces</t>
  </si>
  <si>
    <t>BC Maintenance console update</t>
  </si>
  <si>
    <t>E.1.7	Geo Redundancy - Maintenance Console</t>
  </si>
  <si>
    <t>?</t>
  </si>
  <si>
    <t>STAGE2</t>
  </si>
  <si>
    <t>Causal Report</t>
  </si>
  <si>
    <t>To descope:
B.13.1	Causal Report (Delay Justification)</t>
  </si>
  <si>
    <t>MVP7</t>
  </si>
  <si>
    <t>TAC</t>
  </si>
  <si>
    <t>New</t>
  </si>
  <si>
    <t>Shunting plan handling</t>
  </si>
  <si>
    <t>National Wide</t>
  </si>
  <si>
    <t>Operational notes</t>
  </si>
  <si>
    <t>B.7.1	Operational Note
Moved to maintenance</t>
  </si>
  <si>
    <t>Conflict Solution</t>
  </si>
  <si>
    <t>B.9.2	Conflict Solution
Moved to maintenance</t>
  </si>
  <si>
    <t>PPS</t>
  </si>
  <si>
    <t xml:space="preserve">provided by EBICOS
</t>
  </si>
  <si>
    <t>Show &amp;Hide</t>
  </si>
  <si>
    <t>to check if is present also EBICOS side</t>
  </si>
  <si>
    <t>B.16.1	Show &amp; Hide
Moved to Maintenance</t>
  </si>
  <si>
    <t>Automated routines</t>
  </si>
  <si>
    <t>ERTMS</t>
  </si>
  <si>
    <t>Fully on Ebicos. Covered on line 5 for Iconis</t>
  </si>
  <si>
    <t>MPK(Shunting Plan)</t>
  </si>
  <si>
    <t>ATL</t>
  </si>
  <si>
    <t>Scaldaferri estimation TBC ,mandatory to implemented, contractual contraint.</t>
  </si>
  <si>
    <t>C.12.1 	ATL - Train time reports and forecasts 
Moved to maintenence</t>
  </si>
  <si>
    <t>MATS</t>
  </si>
  <si>
    <t>C.1.1	MATS - External Phone System (MATS)
Moved to EBICOS/MAINTENANCE</t>
  </si>
  <si>
    <t>GELD</t>
  </si>
  <si>
    <t>C.8.1 	GELD - High voltage installations
Moved to EBICOS</t>
  </si>
  <si>
    <t>DPC</t>
  </si>
  <si>
    <t>C.14.1 	DPC - Fault reporting
Moved to EBICOS</t>
  </si>
  <si>
    <t>BASUN</t>
  </si>
  <si>
    <t>C.5.1 	BASUN - Traffic events (BASUN)
Moved to EBICOS</t>
  </si>
  <si>
    <t>DS-Analysis</t>
  </si>
  <si>
    <t>C.6.1 	DS-ANALYS - Infrastructure faults
Moved to EBICOS</t>
  </si>
  <si>
    <t>SSC Integration in Bridge</t>
  </si>
  <si>
    <t>C.3.1	SSC - Send/Receive train numbers to/from adjacent CTCs
Moved to EBICOS</t>
  </si>
  <si>
    <t>DAS</t>
  </si>
  <si>
    <t>Mandatory to implement , contractual contraint.</t>
  </si>
  <si>
    <t>C.16.1 	DAS - Driver Advisory System
Moved to Maintenance</t>
  </si>
  <si>
    <t>BildServer</t>
  </si>
  <si>
    <t>C.15.1 	Bildserver - Interface to Titti
Moved to EBICOS</t>
  </si>
  <si>
    <t>Knowledge of local conditions</t>
  </si>
  <si>
    <t>Knowledge of meteo condition
Ciampolini/Scaldaferri to check offline the possible removal</t>
  </si>
  <si>
    <t>Moved to maintenance/EBICOS
B.18.1	Knowledge of local conditions - Import from an external source
B.18.2	Knowledge of local conditions - Show local conditions</t>
  </si>
  <si>
    <t>LAT refactoring</t>
  </si>
  <si>
    <t>H.2.1	Technician Tool - LAT
Status: Completed</t>
  </si>
  <si>
    <t>Bridge Diag. &amp; Log Connector</t>
  </si>
  <si>
    <t>Tech tool adaption</t>
  </si>
  <si>
    <t>M11</t>
  </si>
  <si>
    <t>CST</t>
  </si>
  <si>
    <t>Selective Updates data Segregation</t>
  </si>
  <si>
    <t>Multiregion</t>
  </si>
  <si>
    <t> </t>
  </si>
  <si>
    <t>BC merged in the main branch</t>
  </si>
  <si>
    <t>NA 
[16/05] whole BC pack needed. Restored
Estimation TBC</t>
  </si>
  <si>
    <t>BC Multi region </t>
  </si>
  <si>
    <t>Authority related to time</t>
  </si>
  <si>
    <t>Moved to Maintenance
H.1.2	Authorization - Authority related to time</t>
  </si>
  <si>
    <t>Total Effort in man-hours</t>
  </si>
  <si>
    <t>Total Effort per resource [Months]</t>
  </si>
  <si>
    <t>Scenario B Vs Scenario A</t>
  </si>
  <si>
    <r>
      <rPr>
        <b/>
        <sz val="11"/>
        <color theme="1"/>
        <rFont val="Calibri"/>
        <family val="2"/>
        <scheme val="minor"/>
      </rPr>
      <t>Plan B evolution
Step1</t>
    </r>
    <r>
      <rPr>
        <sz val="11"/>
        <color theme="1"/>
        <rFont val="Calibri"/>
        <family val="2"/>
        <scheme val="minor"/>
      </rPr>
      <t xml:space="preserve"> Q4 24</t>
    </r>
  </si>
  <si>
    <t>Integration of CTC layer with TMS Planning layer.</t>
  </si>
  <si>
    <t>Separate tools for CTC and TMS.</t>
  </si>
  <si>
    <t>Step2</t>
  </si>
  <si>
    <t>Legenda</t>
  </si>
  <si>
    <r>
      <t xml:space="preserve">In column </t>
    </r>
    <r>
      <rPr>
        <b/>
        <sz val="11"/>
        <color theme="1"/>
        <rFont val="Calibri"/>
        <family val="2"/>
        <scheme val="minor"/>
      </rPr>
      <t>G</t>
    </r>
    <r>
      <rPr>
        <sz val="11"/>
        <color theme="1"/>
        <rFont val="Calibri"/>
        <family val="2"/>
        <scheme val="minor"/>
      </rPr>
      <t xml:space="preserve"> you can find the features/external interfaces list</t>
    </r>
  </si>
  <si>
    <r>
      <t>In column</t>
    </r>
    <r>
      <rPr>
        <b/>
        <sz val="11"/>
        <color theme="1"/>
        <rFont val="Calibri"/>
        <family val="2"/>
        <scheme val="minor"/>
      </rPr>
      <t xml:space="preserve"> K</t>
    </r>
    <r>
      <rPr>
        <sz val="11"/>
        <color theme="1"/>
        <rFont val="Calibri"/>
        <family val="2"/>
        <scheme val="minor"/>
      </rPr>
      <t xml:space="preserve"> you can find three different labels:</t>
    </r>
  </si>
  <si>
    <r>
      <t xml:space="preserve">Removed </t>
    </r>
    <r>
      <rPr>
        <sz val="11"/>
        <color theme="1"/>
        <rFont val="Wingdings"/>
        <charset val="2"/>
      </rPr>
      <t>à</t>
    </r>
    <r>
      <rPr>
        <sz val="11"/>
        <color theme="1"/>
        <rFont val="Calibri"/>
        <family val="2"/>
        <scheme val="minor"/>
      </rPr>
      <t xml:space="preserve"> decrease of scope </t>
    </r>
  </si>
  <si>
    <r>
      <t>No Gap</t>
    </r>
    <r>
      <rPr>
        <sz val="11"/>
        <color theme="1"/>
        <rFont val="Wingdings"/>
        <charset val="2"/>
      </rPr>
      <t>à</t>
    </r>
    <r>
      <rPr>
        <sz val="11"/>
        <color theme="1"/>
        <rFont val="Calibri"/>
        <family val="2"/>
        <scheme val="minor"/>
      </rPr>
      <t xml:space="preserve"> same as previous scenario</t>
    </r>
  </si>
  <si>
    <r>
      <t>More Scope</t>
    </r>
    <r>
      <rPr>
        <sz val="11"/>
        <color theme="1"/>
        <rFont val="Wingdings"/>
        <charset val="2"/>
      </rPr>
      <t>à</t>
    </r>
    <r>
      <rPr>
        <sz val="11"/>
        <color theme="1"/>
        <rFont val="Calibri"/>
        <family val="2"/>
        <scheme val="minor"/>
      </rPr>
      <t xml:space="preserve"> relevant increase of scope</t>
    </r>
  </si>
  <si>
    <r>
      <t xml:space="preserve">Minor Adaption </t>
    </r>
    <r>
      <rPr>
        <sz val="11"/>
        <color theme="1"/>
        <rFont val="Wingdings"/>
        <charset val="2"/>
      </rPr>
      <t>à</t>
    </r>
    <r>
      <rPr>
        <sz val="11"/>
        <color theme="1"/>
        <rFont val="Calibri"/>
        <family val="2"/>
        <scheme val="minor"/>
      </rPr>
      <t xml:space="preserve"> minor increase of scope</t>
    </r>
  </si>
  <si>
    <r>
      <t xml:space="preserve">In column </t>
    </r>
    <r>
      <rPr>
        <b/>
        <sz val="11"/>
        <color theme="1"/>
        <rFont val="Calibri"/>
        <family val="2"/>
        <scheme val="minor"/>
      </rPr>
      <t xml:space="preserve">L </t>
    </r>
    <r>
      <rPr>
        <sz val="11"/>
        <color theme="1"/>
        <rFont val="Calibri"/>
        <family val="2"/>
        <scheme val="minor"/>
      </rPr>
      <t xml:space="preserve">you can find some notes </t>
    </r>
  </si>
  <si>
    <t>Values in yellow are To be Confirmed or Defined</t>
  </si>
  <si>
    <t>Actual</t>
  </si>
  <si>
    <t>Mesi</t>
  </si>
  <si>
    <t>hours</t>
  </si>
  <si>
    <t>Design</t>
  </si>
  <si>
    <t>Development</t>
  </si>
  <si>
    <t>V&amp;V prod</t>
  </si>
  <si>
    <t>V&amp;V prod + tuning</t>
  </si>
  <si>
    <t>ToT</t>
  </si>
  <si>
    <t>ToT per resource months</t>
  </si>
  <si>
    <t>Optimized</t>
  </si>
  <si>
    <t>Revison</t>
  </si>
  <si>
    <t>Date</t>
  </si>
  <si>
    <t>Author</t>
  </si>
  <si>
    <t>Reviewed by</t>
  </si>
  <si>
    <t>Modification</t>
  </si>
  <si>
    <t>Rev1</t>
  </si>
  <si>
    <t>First draft</t>
  </si>
  <si>
    <t>RW Plan A</t>
  </si>
  <si>
    <r>
      <t xml:space="preserve">provided by EBICOS, to check current estimation with project/Ciampolini
[16/05] could be removed for STEP1
</t>
    </r>
    <r>
      <rPr>
        <b/>
        <strike/>
        <sz val="11"/>
        <rFont val="Calibri"/>
        <family val="2"/>
        <scheme val="minor"/>
      </rPr>
      <t xml:space="preserve">To be quoted by Project </t>
    </r>
  </si>
  <si>
    <r>
      <t xml:space="preserve">provided by EBICOS, current estimation to be checked with Project/Ciampolini
[16/05] confirmed to be removed, it is on EBICOS side. Estimation available from Dario Trematerra
</t>
    </r>
    <r>
      <rPr>
        <b/>
        <strike/>
        <sz val="11"/>
        <rFont val="Calibri"/>
        <family val="2"/>
        <scheme val="minor"/>
      </rPr>
      <t>To be quoted by Project</t>
    </r>
  </si>
  <si>
    <r>
      <t xml:space="preserve">to be checked with Project/Ciampolini
[16/05] to be removed, it is on EBICOS side. Estimation available from Dario Trematerra
</t>
    </r>
    <r>
      <rPr>
        <b/>
        <strike/>
        <sz val="11"/>
        <rFont val="Calibri"/>
        <family val="2"/>
        <scheme val="minor"/>
      </rPr>
      <t>To be quoted by Project</t>
    </r>
  </si>
  <si>
    <r>
      <t xml:space="preserve">provided by EBICOS
</t>
    </r>
    <r>
      <rPr>
        <b/>
        <strike/>
        <sz val="11"/>
        <rFont val="Calibri"/>
        <family val="2"/>
        <scheme val="minor"/>
      </rPr>
      <t xml:space="preserve">Configuration interface To be Quoted by Project 
Communication protocol implementation quoted by Program  </t>
    </r>
    <r>
      <rPr>
        <strike/>
        <sz val="11"/>
        <rFont val="Calibri"/>
        <family val="2"/>
        <scheme val="minor"/>
      </rPr>
      <t>(already taken into accoun in line 38)</t>
    </r>
  </si>
  <si>
    <t>NEW</t>
  </si>
  <si>
    <t>Scope Reduced</t>
  </si>
  <si>
    <t>Scope reduced to 15%</t>
  </si>
  <si>
    <r>
      <t xml:space="preserve">Scope Reduced </t>
    </r>
    <r>
      <rPr>
        <sz val="11"/>
        <color theme="1"/>
        <rFont val="Wingdings"/>
        <charset val="2"/>
      </rPr>
      <t xml:space="preserve">à </t>
    </r>
    <r>
      <rPr>
        <sz val="11"/>
        <color theme="1"/>
        <rFont val="Calibri"/>
        <family val="2"/>
        <scheme val="minor"/>
      </rPr>
      <t>relevant decrease of scope</t>
    </r>
  </si>
  <si>
    <r>
      <t xml:space="preserve">in column O you can find </t>
    </r>
    <r>
      <rPr>
        <b/>
        <sz val="11"/>
        <color theme="1"/>
        <rFont val="Calibri"/>
        <family val="2"/>
        <scheme val="minor"/>
      </rPr>
      <t>draft</t>
    </r>
    <r>
      <rPr>
        <sz val="11"/>
        <color theme="1"/>
        <rFont val="Calibri"/>
        <family val="2"/>
        <scheme val="minor"/>
      </rPr>
      <t xml:space="preserve"> figures for SCENARIO A</t>
    </r>
  </si>
  <si>
    <r>
      <t xml:space="preserve">in column N you can find </t>
    </r>
    <r>
      <rPr>
        <b/>
        <sz val="11"/>
        <color theme="1"/>
        <rFont val="Calibri"/>
        <family val="2"/>
        <scheme val="minor"/>
      </rPr>
      <t>draft</t>
    </r>
    <r>
      <rPr>
        <sz val="11"/>
        <color theme="1"/>
        <rFont val="Calibri"/>
        <family val="2"/>
        <scheme val="minor"/>
      </rPr>
      <t xml:space="preserve"> figures for SCENARIO B</t>
    </r>
  </si>
  <si>
    <t>[31/05] already implemented</t>
  </si>
  <si>
    <t>ICONIS Allocation</t>
  </si>
  <si>
    <t>EBICOS Allocation</t>
  </si>
  <si>
    <t>YEs</t>
  </si>
  <si>
    <t>impacts to evaluate in EBICOS 
Scope Reduced to 15%</t>
  </si>
  <si>
    <t>provided by EBICOS
Ciampolini to check offline
[31/05] removal confirmed</t>
  </si>
  <si>
    <t>Control Through Planning on Hybrid architecture</t>
  </si>
  <si>
    <t>External Intefraces (as implemented today with the same cybersecurity requirements</t>
  </si>
  <si>
    <t>Separate client views</t>
  </si>
  <si>
    <t>Re-using EBICOS facility data and nomeclature</t>
  </si>
  <si>
    <t>Regional Planning layers (isolated per CTC)</t>
  </si>
  <si>
    <t>Partially integrated HMI (single sign-on; Territory assignment)</t>
  </si>
  <si>
    <t>Complex planning view integrated (TAC, TAPV, Shunting)</t>
  </si>
  <si>
    <t>ERTMS implementation in step 2</t>
  </si>
  <si>
    <t>Geographical Business Continuity (only TMS layer)/Disaster recovery</t>
  </si>
  <si>
    <t>MASTRONARDI Alessandro</t>
  </si>
  <si>
    <t>TAPV (PBC)</t>
  </si>
  <si>
    <t>TAPV (RPC)</t>
  </si>
  <si>
    <t>Activity</t>
  </si>
  <si>
    <t>Maintenance</t>
  </si>
  <si>
    <t>Digital possession + Safety Notes</t>
  </si>
  <si>
    <t>TAPV(PBC)</t>
  </si>
  <si>
    <t>MPK (Shunting Plan)</t>
  </si>
  <si>
    <t>Light Client int. (Single sign-on for TAS)</t>
  </si>
  <si>
    <t>Hours</t>
  </si>
  <si>
    <t>Owner</t>
  </si>
  <si>
    <t>System</t>
  </si>
  <si>
    <t>Contingencies</t>
  </si>
  <si>
    <t>OPC Kafka adaptator</t>
  </si>
  <si>
    <t>Integration with EB900</t>
  </si>
  <si>
    <t>Fixes during integration (Development)</t>
  </si>
  <si>
    <t>V&amp;V preparation</t>
  </si>
  <si>
    <t>Iconis Product V&amp;V</t>
  </si>
  <si>
    <t>Iconis Product V&amp;V with EB900 team</t>
  </si>
  <si>
    <t>Documentation</t>
  </si>
  <si>
    <t>System Design</t>
  </si>
  <si>
    <t>months</t>
  </si>
  <si>
    <t>Jan</t>
  </si>
  <si>
    <t>Feb</t>
  </si>
  <si>
    <t>Mar</t>
  </si>
  <si>
    <t>Apr</t>
  </si>
  <si>
    <t>Set</t>
  </si>
  <si>
    <t>Nov</t>
  </si>
  <si>
    <t>Dic</t>
  </si>
  <si>
    <t>May</t>
  </si>
  <si>
    <t>Jun</t>
  </si>
  <si>
    <t>Jul</t>
  </si>
  <si>
    <t>Aug</t>
  </si>
  <si>
    <t>Oct</t>
  </si>
  <si>
    <t>System 2 System Int</t>
  </si>
  <si>
    <t>Possession</t>
  </si>
  <si>
    <t>Conf. Detection</t>
  </si>
  <si>
    <t>STEP</t>
  </si>
  <si>
    <t>Resources</t>
  </si>
  <si>
    <t>Step1</t>
  </si>
  <si>
    <t>HMI Development</t>
  </si>
  <si>
    <t>Global data set definition</t>
  </si>
  <si>
    <t>Server Development</t>
  </si>
  <si>
    <t xml:space="preserve">Server System Design </t>
  </si>
  <si>
    <t>HMI System Design</t>
  </si>
  <si>
    <t>Business Continuity</t>
  </si>
  <si>
    <t>NA</t>
  </si>
  <si>
    <t>Tag Description 118781: &lt;NTL PH NO PICOP&gt; Possession Handling and Safety Note Manager Part 2 Possession Non PICOP - Boards (azure.com)</t>
  </si>
  <si>
    <t>Tag Description 20827: &lt;NTL BDS CDADV&gt; Basic Decision Support - Conflict Detection Advanced - Boards (azure.com)</t>
  </si>
  <si>
    <t>Tag Description 20794: &lt;NTL GPV TAC&gt; Graph Plan View - Track Allocation Component - Boards (azure.com)</t>
  </si>
  <si>
    <t>Tag Description 20822: &lt;NTL TAPV RPC&gt; Track Allocation Plan View - Resource Plan Component - Boards (azure.com)</t>
  </si>
  <si>
    <t>Tag Description 101039: &lt;NTL SHUNTING&gt; Shunting Plan Handling - Boards (azure.com)</t>
  </si>
  <si>
    <t>Tag Description 114898: &lt;NTL EI MPK P4&gt; ExtInt MPK Part 4 (Shunting Plan) - Boards (azure.com)</t>
  </si>
  <si>
    <t>Tag Description 108945</t>
  </si>
  <si>
    <t>Tag Description 73144</t>
  </si>
  <si>
    <t>Tag Description 114894</t>
  </si>
  <si>
    <t>Tag Description 101790</t>
  </si>
  <si>
    <t>Tozzi</t>
  </si>
  <si>
    <t>Open Points</t>
  </si>
  <si>
    <t>Light Client int.</t>
  </si>
  <si>
    <t>Comments/Actions</t>
  </si>
  <si>
    <t>Data Prep</t>
  </si>
  <si>
    <t>[18/05] DL form Laderchi's ppt
[24/05] 1036h Removed from Program scope</t>
  </si>
  <si>
    <t>[18/05] DL form Laderchi's ppt
[24/05] 828h Removed from Program scope</t>
  </si>
  <si>
    <t>Simplified PEF (3 Station)+ 
PEF enable/Disable</t>
  </si>
  <si>
    <t>minor adaptation</t>
  </si>
  <si>
    <t xml:space="preserve">Estimated </t>
  </si>
  <si>
    <t>SU+TDS from Laderchi's ppt
[24/05] 8048h Removed from Program scope</t>
  </si>
  <si>
    <t>NAM from Laderchi's ppt
[24/05] 2160h Removed from Program scope</t>
  </si>
  <si>
    <r>
      <t xml:space="preserve">[16/05] could be removed from STEP1
[18/05] DL from Laderchi's ppt
</t>
    </r>
    <r>
      <rPr>
        <b/>
        <strike/>
        <sz val="11"/>
        <rFont val="Calibri"/>
        <family val="2"/>
        <scheme val="minor"/>
      </rPr>
      <t>To be quoted by Project</t>
    </r>
    <r>
      <rPr>
        <strike/>
        <sz val="11"/>
        <rFont val="Calibri"/>
        <family val="2"/>
        <scheme val="minor"/>
      </rPr>
      <t xml:space="preserve"> </t>
    </r>
  </si>
  <si>
    <t>WFM from Laderchi's ppt
[24/05] 1036h Removed from Program scope</t>
  </si>
  <si>
    <r>
      <t xml:space="preserve">[18/05] Checked with Laderchi: 
</t>
    </r>
    <r>
      <rPr>
        <b/>
        <strike/>
        <sz val="11"/>
        <rFont val="Calibri"/>
        <family val="2"/>
        <scheme val="minor"/>
      </rPr>
      <t xml:space="preserve">To be Quoted by Project </t>
    </r>
    <r>
      <rPr>
        <strike/>
        <sz val="11"/>
        <rFont val="Calibri"/>
        <family val="2"/>
        <scheme val="minor"/>
      </rPr>
      <t xml:space="preserve">(inside Lambda converter development)
</t>
    </r>
  </si>
  <si>
    <t>to be analyzed with Tarozzi</t>
  </si>
  <si>
    <t>Phase</t>
  </si>
  <si>
    <t>Remaining effort: 
89186 = V&amp;V + Rework = 367
1101790 Partial Dev  + V&amp;V + Rework = 686
108945 = all
114894- = all</t>
  </si>
  <si>
    <t>BC</t>
  </si>
  <si>
    <t>Trematerra</t>
  </si>
  <si>
    <t>Arun/AI2</t>
  </si>
  <si>
    <t>Data prep</t>
  </si>
  <si>
    <t>Tag Description 77213</t>
  </si>
  <si>
    <t>Tag Description 66033</t>
  </si>
  <si>
    <t>Tag Description 5845</t>
  </si>
  <si>
    <t>Tag Description 100558</t>
  </si>
  <si>
    <t>Tag Description 89186</t>
  </si>
  <si>
    <t>System Desing + Server development</t>
  </si>
  <si>
    <t>System Desing + Server Development</t>
  </si>
  <si>
    <t>System Desing +Server Development</t>
  </si>
  <si>
    <t>TD details in BC effort TAB</t>
  </si>
  <si>
    <t>Link Interactions technical offer TBC</t>
  </si>
  <si>
    <t xml:space="preserve"> Dummy Node Points  technical offer TBC</t>
  </si>
  <si>
    <t>Dept</t>
  </si>
  <si>
    <t>V&amp;V</t>
  </si>
  <si>
    <t>DataPrep</t>
  </si>
  <si>
    <t>Other</t>
  </si>
  <si>
    <t xml:space="preserve">[20/06] content requested by the project </t>
  </si>
  <si>
    <t>Link</t>
  </si>
  <si>
    <t>S2K</t>
  </si>
  <si>
    <t>BGL res.</t>
  </si>
  <si>
    <t xml:space="preserve">Digital possession and safety notes
</t>
  </si>
  <si>
    <t>B.14.5	PEF - Activate/Deactivate Route Setting for a Train</t>
  </si>
  <si>
    <r>
      <t xml:space="preserve">B.14.1	PEF - Automatic Routes Trigger 
</t>
    </r>
    <r>
      <rPr>
        <sz val="11"/>
        <color rgb="FFFF0000"/>
        <rFont val="Calibri"/>
        <family val="2"/>
      </rPr>
      <t>Moved to Maintenance</t>
    </r>
  </si>
  <si>
    <r>
      <t xml:space="preserve">
To Implement:
B.9.1	Conflict Detection
</t>
    </r>
    <r>
      <rPr>
        <sz val="11"/>
        <color rgb="FFFF0000"/>
        <rFont val="Calibri"/>
        <family val="2"/>
      </rPr>
      <t>Moved  to maintenance</t>
    </r>
    <r>
      <rPr>
        <sz val="11"/>
        <color rgb="FF000000"/>
        <rFont val="Calibri"/>
        <family val="2"/>
      </rPr>
      <t>:
B.9.2	Conflict Solution</t>
    </r>
  </si>
  <si>
    <t>provided by EBICOS 
Anders will check
[16/05] confirmed
Moved to EBICOS</t>
  </si>
  <si>
    <t>Moved by EBICOS</t>
  </si>
  <si>
    <t>[16/05] to be integrated EBICOS side
Moved to EBICOS</t>
  </si>
  <si>
    <t>provided by EBICOS
Estimation TBC
mandatory to be implemented, contractual contraint.
Moved to EBICOS</t>
  </si>
  <si>
    <t>Mandatory to implement the BC
Moved to EBICOS</t>
  </si>
  <si>
    <t>Moved to EBICOS</t>
  </si>
  <si>
    <t xml:space="preserve">
TSR indication integration (Digital possession and safety notes) </t>
  </si>
  <si>
    <r>
      <t xml:space="preserve">impacts to evaluate in EBICOS
[note 15/05] we can export all the planning informations from ICONIS to EBICOS, effort included in line 3
[16/05]  
contractual constraint, saving depends of when the new contract will be amended
Assumption: Contract amendment in October, effort reduced of 50%
[31/05] in case of Project Pause we can consider 0 this effort, ICONIS should send to EBICOS the route plan 
</t>
    </r>
    <r>
      <rPr>
        <sz val="11"/>
        <rFont val="Calibri"/>
        <family val="2"/>
        <scheme val="minor"/>
      </rPr>
      <t>Scope Reduced to 30%
[01/06] PEF enable/disable feature, could be removed to maintenance phase? check with Nanetti to review effort accordingly</t>
    </r>
    <r>
      <rPr>
        <strike/>
        <sz val="11"/>
        <rFont val="Calibri"/>
        <family val="2"/>
        <scheme val="minor"/>
      </rPr>
      <t xml:space="preserve">
</t>
    </r>
    <r>
      <rPr>
        <sz val="11"/>
        <rFont val="Calibri"/>
        <family val="2"/>
        <scheme val="minor"/>
      </rPr>
      <t xml:space="preserve">[13/06 workshop] PEF enable/Disable: the Idea is to use Route Reserving Mode already implemented in ICONIS (train level)  to forward the request to CTC. Needed a CTC feedback. Effort already included in line 5
PEF disabled visualization in Orange (not Mandatory) delegated to EBICOS
</t>
    </r>
    <r>
      <rPr>
        <strike/>
        <sz val="11"/>
        <rFont val="Calibri"/>
        <family val="2"/>
        <scheme val="minor"/>
      </rPr>
      <t xml:space="preserve">
</t>
    </r>
    <r>
      <rPr>
        <sz val="11"/>
        <rFont val="Calibri"/>
        <family val="2"/>
        <scheme val="minor"/>
      </rPr>
      <t>to check "Information from ICONIS on trains with ARS disabled comes as the full schedule update with</t>
    </r>
    <r>
      <rPr>
        <b/>
        <sz val="11"/>
        <rFont val="Calibri"/>
        <family val="2"/>
        <scheme val="minor"/>
      </rPr>
      <t xml:space="preserve"> the ‘disabled’ indication</t>
    </r>
    <r>
      <rPr>
        <sz val="11"/>
        <rFont val="Calibri"/>
        <family val="2"/>
        <scheme val="minor"/>
      </rPr>
      <t xml:space="preserve"> for ARS" with Di Carmine Confirms , no more effort needed</t>
    </r>
  </si>
  <si>
    <r>
      <t xml:space="preserve">B.12.1	Possession Handling and Safety Notes - Import pre-planned possession
</t>
    </r>
    <r>
      <rPr>
        <sz val="11"/>
        <rFont val="Calibri"/>
        <family val="2"/>
      </rPr>
      <t xml:space="preserve">Moved to Maintenance
</t>
    </r>
    <r>
      <rPr>
        <sz val="11"/>
        <color rgb="FF000000"/>
        <rFont val="Calibri"/>
        <family val="2"/>
      </rPr>
      <t xml:space="preserve">
Following to cover:
B.12.2	Possession Handling and Safety Notes - Handle Directly Planned
</t>
    </r>
  </si>
  <si>
    <t>B.1.9 already present in current TD</t>
  </si>
  <si>
    <t>B.3.1	TAC-Track Allocation Component
B.12.8	Possession Handling and Safety Notes - Handle on TAC</t>
  </si>
  <si>
    <r>
      <rPr>
        <sz val="11"/>
        <color rgb="FFFF0000"/>
        <rFont val="Calibri"/>
        <family val="2"/>
      </rPr>
      <t>B.4.1	TAPV-Resource Plan Component (Moved to Maintenance)</t>
    </r>
    <r>
      <rPr>
        <sz val="11"/>
        <color rgb="FF000000"/>
        <rFont val="Calibri"/>
        <family val="2"/>
      </rPr>
      <t xml:space="preserve">
B.4.2	TAPV-Path &amp; Blocking Component
B.12.10	Possession Handling and Safety Notes - Handle on P&amp;B</t>
    </r>
  </si>
  <si>
    <r>
      <t xml:space="preserve">
</t>
    </r>
    <r>
      <rPr>
        <strike/>
        <sz val="11"/>
        <color rgb="FFFF0000"/>
        <rFont val="Calibri"/>
        <family val="2"/>
      </rPr>
      <t>B.12.3 Possession Handling and Safety Notes - Handle on RPC</t>
    </r>
    <r>
      <rPr>
        <sz val="11"/>
        <color rgb="FF000000"/>
        <rFont val="Calibri"/>
        <family val="2"/>
      </rPr>
      <t xml:space="preserve">
 B.12.5	Possession Handling and Safety Notes - Handle on Hub View
B.12.6	Possession Handling and Safety Notes - Handle on GPV
B.12.7	Possession Handling and Safety Notes - Handle on STC
</t>
    </r>
    <r>
      <rPr>
        <strike/>
        <sz val="11"/>
        <color rgb="FFFF0000"/>
        <rFont val="Calibri"/>
        <family val="2"/>
      </rPr>
      <t>B.12.9	Possession Handling and Safety Notes - Handle on RPC</t>
    </r>
  </si>
  <si>
    <t>B 20.1 (New)	Planning Train Link</t>
  </si>
  <si>
    <t>B.11.1	Shunting Handling - external interface (MPK)
C.2.3 MPK - Impoert Shunting plan</t>
  </si>
  <si>
    <t>No development agreed</t>
  </si>
  <si>
    <t>To implement
E.1.1	Geo Redundancy - Basic Node Management
E.1.2	Geo Redundancy - Management of local redundancy 
E.1.4	Geo Redundancy - Management of ICONIS Services
moved to maintenence:
E.1.5	Geo Redundancy - Management of a Multi Region System
E.1.6	Geo Redundancy - Workload Management
E.1.8	Geo Redundancy - Recovery Time Objective &amp; Recovery Point Objective</t>
  </si>
  <si>
    <t xml:space="preserve">J.1.1 ICONIS2EBICOS interface protocol (OPC-UA, COM-P or Kafka)
J.2.2 ICONIS2EBICOS Handle Order/Indications
J.3.1 ICONIS2EBICOS Handle Train Position
J.4.1 ICONIS2EBICOS Route Plan Send
J.5.1 ICONIS2EBICOS Handle ERTMS
</t>
  </si>
  <si>
    <t xml:space="preserve">B 19.1 (New)	TSR's in Planning view
J.11.1 Handle TSR
</t>
  </si>
  <si>
    <t xml:space="preserve">light client ICONIS - EBICOS Integration </t>
  </si>
  <si>
    <r>
      <t xml:space="preserve">provided by EBICOS
Configuration interface </t>
    </r>
    <r>
      <rPr>
        <b/>
        <sz val="11"/>
        <rFont val="Calibri"/>
        <family val="2"/>
        <scheme val="minor"/>
      </rPr>
      <t xml:space="preserve">To be quoted by Project 
</t>
    </r>
    <r>
      <rPr>
        <sz val="11"/>
        <rFont val="Calibri"/>
        <family val="2"/>
        <scheme val="minor"/>
      </rPr>
      <t xml:space="preserve">Communication protocol implementation quoted by Program
[31/05] to add dedicated item in integration
effort already taken into account in line 5
</t>
    </r>
    <r>
      <rPr>
        <sz val="11"/>
        <color rgb="FFFF0000"/>
        <rFont val="Calibri"/>
        <family val="2"/>
        <scheme val="minor"/>
      </rPr>
      <t>Item can be merged for as second step of integration</t>
    </r>
  </si>
  <si>
    <r>
      <t xml:space="preserve">restricted to User authentication and authorization  (TAS)
detailed in Workload tab
</t>
    </r>
    <r>
      <rPr>
        <sz val="11"/>
        <color rgb="FFFF0000"/>
        <rFont val="Calibri"/>
        <family val="2"/>
        <scheme val="minor"/>
      </rPr>
      <t>Item can be merged in a second step of Integration</t>
    </r>
  </si>
  <si>
    <t>Cost</t>
  </si>
  <si>
    <t>BGL resources</t>
  </si>
  <si>
    <t>reource tot</t>
  </si>
  <si>
    <t xml:space="preserve">GANESAN Arun-Kumar
</t>
  </si>
  <si>
    <t>Mastronardi Alessandro</t>
  </si>
  <si>
    <t>Scaldaferri Antonio</t>
  </si>
  <si>
    <t>Di Carmine Antonio</t>
  </si>
  <si>
    <t>Santonastasi Luca</t>
  </si>
  <si>
    <t>Calitri Giuseppe</t>
  </si>
  <si>
    <t>Mostallino Francesco</t>
  </si>
  <si>
    <t>Schalch Wagner</t>
  </si>
  <si>
    <t>Tozzi Barbara</t>
  </si>
  <si>
    <t>Franceschini Elisa</t>
  </si>
  <si>
    <t>Mases</t>
  </si>
  <si>
    <t>Manzali Matteo</t>
  </si>
  <si>
    <t>Feuli Fabio</t>
  </si>
  <si>
    <t>Piletti Stefano</t>
  </si>
  <si>
    <t>Role</t>
  </si>
  <si>
    <t>Name</t>
  </si>
  <si>
    <t>PM</t>
  </si>
  <si>
    <t>PRSAA</t>
  </si>
  <si>
    <t>Design Autority</t>
  </si>
  <si>
    <t>Sw Architect</t>
  </si>
  <si>
    <t>System Architect</t>
  </si>
  <si>
    <t>Tech Lead</t>
  </si>
  <si>
    <t>V&amp;V engineer</t>
  </si>
  <si>
    <t>Human Factor</t>
  </si>
  <si>
    <t>Libardi Paolo</t>
  </si>
  <si>
    <t>Pollini Davide</t>
  </si>
  <si>
    <t>BGL</t>
  </si>
  <si>
    <t>Tech tools</t>
  </si>
  <si>
    <t>Magnoni(replacement)</t>
  </si>
  <si>
    <r>
      <t xml:space="preserve">[05/06] TSR Indication to be analyzed with Massimo Nanetti and added to the quotation
[13/06 workshop] safety part is managed by EBICOS (SIL4), ICONIS interaction is needed to optimize the timetable estimation to be reviewed.
</t>
    </r>
    <r>
      <rPr>
        <sz val="11"/>
        <color rgb="FFFF0000"/>
        <rFont val="Calibri"/>
        <family val="2"/>
        <scheme val="minor"/>
      </rPr>
      <t>constrained to ERTMS Item, can be merged for as second step of integration</t>
    </r>
  </si>
  <si>
    <r>
      <t xml:space="preserve">Information coming from Safety Notes Manager that needs to be displayed on the Track Layout is managed only by EBICOS. Part of TD has been introduced in 6.9.6/6.9.7 remaining effort 1320
 to both PICOP  and w/O PICOP
[12/06] HMI Masks of safety note manager developed for PICOP can be reused for non-PICOP
</t>
    </r>
    <r>
      <rPr>
        <sz val="11"/>
        <color rgb="FFFF0000"/>
        <rFont val="Calibri"/>
        <family val="2"/>
        <scheme val="minor"/>
      </rPr>
      <t>To review effort considering B.12.3  - B.12.9 removal</t>
    </r>
  </si>
  <si>
    <t xml:space="preserve">73144 cost estimation takes into account also line 54
Only Modularization Step1 needed +
neighbouring region inter-communication strategy 900 (including V&amp;V and risks)
</t>
  </si>
  <si>
    <r>
      <t xml:space="preserve">estimation from Hervé mail, includes the V&amp;V activity
[31/05] to check if the current estimation takes into account: 
- Sending from ICONIS to EBICOS of planning information (line 9) Covered 
</t>
    </r>
    <r>
      <rPr>
        <strike/>
        <sz val="11"/>
        <rFont val="Calibri"/>
        <family val="2"/>
        <scheme val="minor"/>
      </rPr>
      <t xml:space="preserve">- Eventual TAS improvement in the respect of EBICOS solution (line 10) Not expected/Not included
</t>
    </r>
    <r>
      <rPr>
        <sz val="11"/>
        <rFont val="Calibri"/>
        <family val="2"/>
        <scheme val="minor"/>
      </rPr>
      <t xml:space="preserve">- ERTMS Integration (line 41) Covered
In case that above items are not included, dedicated lines will be created.
[01/06] updated above points basing on Hervé mail 
[08/06/2023] updated estimation basing on Hervé mail 6450 
[22/06] to be checked with Di Carmine:
	ICONIS2EBICOS Handle </t>
    </r>
    <r>
      <rPr>
        <b/>
        <sz val="11"/>
        <rFont val="Calibri"/>
        <family val="2"/>
        <scheme val="minor"/>
      </rPr>
      <t>Route</t>
    </r>
    <r>
      <rPr>
        <sz val="11"/>
        <rFont val="Calibri"/>
        <family val="2"/>
        <scheme val="minor"/>
      </rPr>
      <t xml:space="preserve"> set information	 	ICONIS	 	YES
 	ICONIS2EBICOS </t>
    </r>
    <r>
      <rPr>
        <b/>
        <sz val="11"/>
        <rFont val="Calibri"/>
        <family val="2"/>
        <scheme val="minor"/>
      </rPr>
      <t>OPC-UA</t>
    </r>
    <r>
      <rPr>
        <sz val="11"/>
        <rFont val="Calibri"/>
        <family val="2"/>
        <scheme val="minor"/>
      </rPr>
      <t xml:space="preserve"> active EBICOS monitoring and switchover
Di Carmine Confirms	
Di Carmine to confirm Logging of EBICOS data and new functionality and J.9.1 Block Object are already taken into account
[26/06] Kafka native feature (calibratable log persistence time infos are exportable in file/DB)
Block objects already considered</t>
    </r>
    <r>
      <rPr>
        <sz val="11"/>
        <color rgb="FFFF0000"/>
        <rFont val="Calibri"/>
        <family val="2"/>
        <scheme val="minor"/>
      </rPr>
      <t xml:space="preserve">		</t>
    </r>
    <r>
      <rPr>
        <sz val="11"/>
        <rFont val="Calibri"/>
        <family val="2"/>
        <scheme val="minor"/>
      </rPr>
      <t xml:space="preserve">	
</t>
    </r>
  </si>
  <si>
    <r>
      <t xml:space="preserve">J.1.1 ICONIS2EBICOS interface protocol (OPC-UA, COM-P or Kafka)
J.2.2 ICONIS2EBICOS Handle Order/Indications
J.3.1 ICONIS2EBICOS Handle Train Position
J.4.1 ICONIS2EBICOS Route Plan Send
J.5.1 ICONIS2EBICOS Handle ERTMS
</t>
    </r>
    <r>
      <rPr>
        <sz val="11"/>
        <rFont val="Calibri"/>
        <family val="2"/>
      </rPr>
      <t>J.12.1ICONIS2EBICOS Handle Route set Information
J.10.1ICONIS2EBICOS OPC-UA active EBICOS monitoring and switchover
J.9.1 ICONIS2EBICOS Handle Block Object information</t>
    </r>
    <r>
      <rPr>
        <sz val="11"/>
        <color rgb="FFFF0000"/>
        <rFont val="Calibri"/>
        <family val="2"/>
      </rPr>
      <t xml:space="preserve">
</t>
    </r>
  </si>
  <si>
    <t>Information coming from Safety Notes Manager that impacts ARS operating mode (enabled/disabled at route level) is managed only by ICONIS. ARS operating mode is then updated in EBICOS through the interface with ICONIS.
- Block orders coming from Safety Notes Manager  is managed only by EBICOS
Di Carmine to check if possession handling is including Track restrictions on Graph Component. [26/06] already implemented ICONIS side (not needed EBICOS side)</t>
  </si>
  <si>
    <t>not in scope for EBICOS 
Remaining effort V&amp;V + Rework 38% = 754</t>
  </si>
  <si>
    <t>not in scope for EBICOS
Remaining effort V&amp;V + Rework 38% = 367</t>
  </si>
  <si>
    <t>Days</t>
  </si>
  <si>
    <t>Assumptions</t>
  </si>
  <si>
    <t>Bridge diag. And Log connector</t>
  </si>
  <si>
    <t>B.11.2	Shunting Handling - MPK data model into ICONIS
B.11.3	Shunting Handling - HMI user interaction
B.1.9 Graph Component Handle Shunting</t>
  </si>
  <si>
    <t>Link Interactions technical offer</t>
  </si>
  <si>
    <t>Total Cost</t>
  </si>
  <si>
    <t>Technical Leader</t>
  </si>
  <si>
    <t>Program Management</t>
  </si>
  <si>
    <t>BGL Provision for support S2K</t>
  </si>
  <si>
    <t>Di Carmine/Schalch</t>
  </si>
  <si>
    <t>Mases/Di Carmine/Manzali</t>
  </si>
  <si>
    <t>Tozzi + Mases/Di Carmine/Manzali</t>
  </si>
  <si>
    <t>Di Carmine</t>
  </si>
  <si>
    <t>Nier/Calitri/Manzali</t>
  </si>
  <si>
    <t>Gabor</t>
  </si>
  <si>
    <t>Pollini</t>
  </si>
  <si>
    <t>Feuli</t>
  </si>
  <si>
    <t>Piletti</t>
  </si>
  <si>
    <t>Quintavalle</t>
  </si>
  <si>
    <t>Libardi/Di Carmine</t>
  </si>
  <si>
    <t>Libardi</t>
  </si>
  <si>
    <t>Mastronardi</t>
  </si>
  <si>
    <t>Scaldaferri</t>
  </si>
  <si>
    <t>GANESAN Arun</t>
  </si>
  <si>
    <t>Magnoni/Calitri/Manzali\Piletti</t>
  </si>
  <si>
    <t>FY 2024 -2025</t>
  </si>
  <si>
    <t>FY 2025 - 2026</t>
  </si>
  <si>
    <t>Tarozzi/Santonastasi</t>
  </si>
  <si>
    <t>Contractor</t>
  </si>
  <si>
    <t>General</t>
  </si>
  <si>
    <t>Tech.Tool</t>
  </si>
  <si>
    <t>Tag Description 51270: &lt;NTL ADT P2&gt; Autodiagnostic - Boards (azure.com)</t>
  </si>
  <si>
    <t>Estimation based on design studied in Workshop of June 2023</t>
  </si>
  <si>
    <t>AI2</t>
  </si>
  <si>
    <t>Calitri/Manzali\Piletti</t>
  </si>
  <si>
    <t>HMI</t>
  </si>
  <si>
    <t>FY 2023 -2024</t>
  </si>
  <si>
    <t xml:space="preserve">Territory Assignment Areas syncronization </t>
  </si>
  <si>
    <r>
      <t xml:space="preserve">contractual constraint, saving depends of when the new contract will be amended
Assumption: Contract amendment in October, effort reduced of 50%
[31/05] in case of Project Pause we can consider 0 this effort, to check what is presente in EBICOS
</t>
    </r>
    <r>
      <rPr>
        <sz val="11"/>
        <rFont val="Calibri"/>
        <family val="2"/>
        <scheme val="minor"/>
      </rPr>
      <t>Scope Reduced to 15%</t>
    </r>
    <r>
      <rPr>
        <strike/>
        <sz val="11"/>
        <rFont val="Calibri"/>
        <family val="2"/>
        <scheme val="minor"/>
      </rPr>
      <t xml:space="preserve">
</t>
    </r>
    <r>
      <rPr>
        <sz val="11"/>
        <color rgb="FFFF0000"/>
        <rFont val="Calibri"/>
        <family val="2"/>
        <scheme val="minor"/>
      </rPr>
      <t xml:space="preserve">
</t>
    </r>
    <r>
      <rPr>
        <sz val="11"/>
        <rFont val="Calibri"/>
        <family val="2"/>
        <scheme val="minor"/>
      </rPr>
      <t>to check with Antonio if  AS IS  TAS is provided  in ICONIS standard solution
needed to syncronize Areas within EBICOS and ICONiS</t>
    </r>
    <r>
      <rPr>
        <sz val="11"/>
        <color rgb="FFFF0000"/>
        <rFont val="Calibri"/>
        <family val="2"/>
        <scheme val="minor"/>
      </rPr>
      <t xml:space="preserve"> </t>
    </r>
    <r>
      <rPr>
        <sz val="11"/>
        <rFont val="Calibri"/>
        <family val="2"/>
        <scheme val="minor"/>
      </rPr>
      <t>Libardi to tune the esteem</t>
    </r>
    <r>
      <rPr>
        <strike/>
        <sz val="11"/>
        <rFont val="Calibri"/>
        <family val="2"/>
        <scheme val="minor"/>
      </rPr>
      <t xml:space="preserve"> 
</t>
    </r>
    <r>
      <rPr>
        <sz val="11"/>
        <color rgb="FFFF0000"/>
        <rFont val="Calibri"/>
        <family val="2"/>
        <scheme val="minor"/>
      </rPr>
      <t>Libardi esteemation 300h</t>
    </r>
  </si>
  <si>
    <t>TAS</t>
  </si>
  <si>
    <t>Tag Description 101033: &lt;NTL USER MNGM&gt; H.1 Authorization [PI6]: Territory assignment and user management - AoA and FoA - Boards (azure.com)</t>
  </si>
  <si>
    <t>months/Man</t>
  </si>
  <si>
    <t>Cost [€]</t>
  </si>
  <si>
    <t>Romiti Giacomi</t>
  </si>
  <si>
    <t>Ennova HMI</t>
  </si>
  <si>
    <t>FTE</t>
  </si>
  <si>
    <t>0,5</t>
  </si>
  <si>
    <t>Tarozzi Luca (or GIORGIA)</t>
  </si>
  <si>
    <t>Tarozzi/Santonastasi\Ennova</t>
  </si>
  <si>
    <t>TSR indication integration</t>
  </si>
  <si>
    <t>TSR integration</t>
  </si>
  <si>
    <t>TSR Indication Integration</t>
  </si>
  <si>
    <t>Core</t>
  </si>
  <si>
    <t>Perimeter</t>
  </si>
  <si>
    <t>Feature</t>
  </si>
  <si>
    <t>Boolean</t>
  </si>
  <si>
    <t>Yes</t>
  </si>
  <si>
    <t>No</t>
  </si>
  <si>
    <t>Departement</t>
  </si>
  <si>
    <t>Funtional Breakdown</t>
  </si>
  <si>
    <t xml:space="preserve">[18/05] Checked with Laderchi: 
To be Quoted by Project (inside Lambda converter development)
</t>
  </si>
  <si>
    <t xml:space="preserve">estimation from Hervé mail, includes the V&amp;V activity
[31/05] to check if the current estimation takes into account: 
- Sending from ICONIS to EBICOS of planning information (line 9) Covered 
- Eventual TAS improvement in the respect of EBICOS solution (line 10) Not expected/Not included
- ERTMS Integration (line 41) Covered
In case that above items are not included, dedicated lines will be created.
[01/06] updated above points basing on Hervé mail 
[08/06/2023] updated estimation basing on Hervé mail 6450 
[22/06] to be checked with Di Carmine:
	ICONIS2EBICOS Handle Route set information	 	ICONIS	 	YES
 	ICONIS2EBICOS OPC-UA active EBICOS monitoring and switchover
Di Carmine Confirms	
Di Carmine to confirm Logging of EBICOS data and new functionality and J.9.1 Block Object are already taken into account
[26/06] Kafka native feature (calibratable log persistence time infos are exportable in file/DB)
Block objects already considered			
</t>
  </si>
  <si>
    <t>restricted to User authentication and authorization  (TAS)
detailed in Workload tab
Item can be merged in a second step of Integration</t>
  </si>
  <si>
    <t>impacts to evaluate in EBICOS
[note 15/05] we can export all the planning informations from ICONIS to EBICOS, effort included in line 3
[16/05]  
contractual constraint, saving depends of when the new contract will be amended
Assumption: Contract amendment in October, effort reduced of 50%
[31/05] in case of Project Pause we can consider 0 this effort, ICONIS should send to EBICOS the route plan 
Scope Reduced to 30%
[01/06] PEF enable/disable feature, could be removed to maintenance phase? check with Nanetti to review effort accordingly
[13/06 workshop] PEF enable/Disable: the Idea is to use Route Reserving Mode already implemented in ICONIS (train level)  to forward the request to CTC. Needed a CTC feedback. Effort already included in line 5
PEF disabled visualization in Orange (not Mandatory) delegated to EBICOS
to check "Information from ICONIS on trains with ARS disabled comes as the full schedule update with the ‘disabled’ indication for ARS" with Di Carmine Confirms , no more effort needed</t>
  </si>
  <si>
    <t>contractual constraint, saving depends of when the new contract will be amended
Assumption: Contract amendment in October, effort reduced of 50%
[31/05] in case of Project Pause we can consider 0 this effort, to check what is presente in EBICOS
Scope Reduced to 15%
to check with Antonio if  AS IS  TAS is provided  in ICONIS standard solution
needed to syncronize Areas within EBICOS and ICONiS Libardi to tune the esteem 
Libardi esteemation 300h</t>
  </si>
  <si>
    <t>Merged inside line 7</t>
  </si>
  <si>
    <t>[05/06] TSR Indication to be analyzed with Massimo Nanetti and added to the quotation
[13/06 workshop] safety part is managed by EBICOS (SIL4), ICONIS interaction is needed to optimize the timetable estimation to be reviewed.
constrained to ERTMS Item, can be merged for as second step of integration</t>
  </si>
  <si>
    <t xml:space="preserve">provided by EBICOS, to check current estimation with project/Ciampolini
[16/05] could be removed for STEP1
To be quoted by Project </t>
  </si>
  <si>
    <t xml:space="preserve">[16/05] could be removed from STEP1
[18/05] DL from Laderchi's ppt
To be quoted by Project </t>
  </si>
  <si>
    <t>provided by EBICOS
Configuration interface To be quoted by Project 
Communication protocol implementation quoted by Program
[31/05] to add dedicated item in integration
effort already taken into account in line 5
Item can be merged for as second step of integration</t>
  </si>
  <si>
    <t>provided by EBICOS, current estimation to be checked with Project/Ciampolini
[16/05] confirmed to be removed, it is on EBICOS side. Estimation available from Dario Trematerra
To be quoted by Project</t>
  </si>
  <si>
    <t>to be checked with Project/Ciampolini
[16/05] to be removed, it is on EBICOS side. Estimation available from Dario Trematerra
To be quoted by Project</t>
  </si>
  <si>
    <t>provided by EBICOS
Configuration interface To be Quoted by Project 
Communication protocol implementation quoted by Program  (already taken into accoun in line 38)</t>
  </si>
  <si>
    <t xml:space="preserve">J.1.1 ICONIS2EBICOS interface protocol (OPC-UA, COM-P or Kafka)
J.2.2 ICONIS2EBICOS Handle Order/Indications
J.3.1 ICONIS2EBICOS Handle Train Position
J.4.1 ICONIS2EBICOS Route Plan Send
J.5.1 ICONIS2EBICOS Handle ERTMS
J.12.1ICONIS2EBICOS Handle Route set Information
J.10.1ICONIS2EBICOS OPC-UA active EBICOS monitoring and switchover
J.9.1 ICONIS2EBICOS Handle Block Object information
</t>
  </si>
  <si>
    <t xml:space="preserve">B.12.1	Possession Handling and Safety Notes - Import pre-planned possession
Moved to Maintenance
Following to cover:
B.12.2	Possession Handling and Safety Notes - Handle Directly Planned
</t>
  </si>
  <si>
    <t xml:space="preserve">
B.12.3 Possession Handling and Safety Notes - Handle on RPC
 B.12.5	Possession Handling and Safety Notes - Handle on Hub View
B.12.6	Possession Handling and Safety Notes - Handle on GPV
B.12.7	Possession Handling and Safety Notes - Handle on STC
B.12.9	Possession Handling and Safety Notes - Handle on RPC</t>
  </si>
  <si>
    <t>B.14.1	PEF - Automatic Routes Trigger 
Moved to Maintenance</t>
  </si>
  <si>
    <t xml:space="preserve">
To Implement:
B.9.1	Conflict Detection
Moved  to maintenance:
B.9.2	Conflict Solution</t>
  </si>
  <si>
    <t>B.4.1	TAPV-Resource Plan Component (Moved to Maintenance)
B.4.2	TAPV-Path &amp; Blocking Component
B.12.10	Possession Handling and Safety Notes - Handle on P&amp;B</t>
  </si>
  <si>
    <t>man-hours</t>
  </si>
  <si>
    <t>Man-hours</t>
  </si>
  <si>
    <t>man-days</t>
  </si>
  <si>
    <t>Total Hours</t>
  </si>
  <si>
    <t>OP#</t>
  </si>
  <si>
    <t>2024-2025 Hours</t>
  </si>
  <si>
    <t>2025-2026 Hours</t>
  </si>
  <si>
    <t>Assumption</t>
  </si>
  <si>
    <t>OWNER</t>
  </si>
  <si>
    <t>DEPT</t>
  </si>
  <si>
    <t>ACTIVITY</t>
  </si>
  <si>
    <t>MAN-HOURS</t>
  </si>
  <si>
    <t>MAN-DAYS</t>
  </si>
  <si>
    <t>COST</t>
  </si>
  <si>
    <t>Step</t>
  </si>
  <si>
    <t>Man-days</t>
  </si>
  <si>
    <t>Man-months</t>
  </si>
  <si>
    <t>N. Resources</t>
  </si>
  <si>
    <t>Costs</t>
  </si>
  <si>
    <t>Int/Ext</t>
  </si>
  <si>
    <t>Int</t>
  </si>
  <si>
    <t>Ext</t>
  </si>
  <si>
    <t>Team</t>
  </si>
  <si>
    <t>Tech. Tool</t>
  </si>
  <si>
    <t>Row Labels</t>
  </si>
  <si>
    <t>Grand Total</t>
  </si>
  <si>
    <t>Sum of Total Hours</t>
  </si>
  <si>
    <t>Sum of Total Cost</t>
  </si>
  <si>
    <t>Count of FTE</t>
  </si>
  <si>
    <t>Core Development</t>
  </si>
  <si>
    <t>Sub-Activity</t>
  </si>
  <si>
    <t>Simplified PEF+enable/Disable</t>
  </si>
  <si>
    <t>Split</t>
  </si>
  <si>
    <t>Check</t>
  </si>
  <si>
    <t>FY 2026 - 2027</t>
  </si>
  <si>
    <t>FY 2027 - 2028</t>
  </si>
  <si>
    <t>Document Reference</t>
  </si>
  <si>
    <t>T-22 E151873 rev.XXXXX</t>
  </si>
  <si>
    <t>PV-000064 rev. B</t>
  </si>
  <si>
    <t>PV - 000066 rev. 1A</t>
  </si>
  <si>
    <t>Server</t>
  </si>
  <si>
    <t xml:space="preserve">New </t>
  </si>
  <si>
    <t>GENERAL</t>
  </si>
  <si>
    <t>Percentage</t>
  </si>
  <si>
    <t>Badget splitted by month</t>
  </si>
  <si>
    <t>FTE/Month</t>
  </si>
  <si>
    <t>FY 2025 -2026</t>
  </si>
  <si>
    <t>FY 2026 -2027</t>
  </si>
  <si>
    <t>FY 2027 -2028</t>
  </si>
  <si>
    <t>Sum of Man-hours</t>
  </si>
  <si>
    <t>evolution to add full ppt creation including risks</t>
  </si>
  <si>
    <t>evolution to add month by month auto generate estimation starting from year resources allocation</t>
  </si>
  <si>
    <t>Count of Activity</t>
  </si>
  <si>
    <t>BCWS (Planned Value)</t>
  </si>
  <si>
    <t>BCWP (Earned Value)</t>
  </si>
  <si>
    <t>ACWP (Actuals Cost)</t>
  </si>
  <si>
    <t>BAC (Budget At Complention)</t>
  </si>
  <si>
    <t>EAC(Estimation At Complention)</t>
  </si>
  <si>
    <t>evolution to add BCWS/BCWP/ACWP/BAC/EAC estimation as per "Plan" tab</t>
  </si>
  <si>
    <t>Planned Activities</t>
  </si>
  <si>
    <t>Allocation</t>
  </si>
  <si>
    <t>Availability</t>
  </si>
  <si>
    <t>Project duration</t>
  </si>
  <si>
    <t>Information coming from Safety Notes Manager that needs to be displayed on the Track Layout is managed only by EBICOS. Part of TD has been introduced in 6.9.6/6.9.7 remaining effort 1320
 to both PICOP  and w/O PICOP
[12/06] HMI Masks of safety note manager developed for PICOP can be reused for non-PICOP
To review effort considering B.12.3  - B.12.9 removal
deleted line 13 and added the effort to the current item</t>
  </si>
  <si>
    <t>Start of the project</t>
  </si>
  <si>
    <t>NTL Product Schedule</t>
  </si>
  <si>
    <t>System to System Integration ICONIS System</t>
  </si>
  <si>
    <t>System to System Integration ICONIS Core Development</t>
  </si>
  <si>
    <t>System to System Integration ICONIS HMI Development</t>
  </si>
  <si>
    <t>System to System Integration ICONIS DataPrep</t>
  </si>
  <si>
    <t>System to System Integration ICONIS V&amp;V</t>
  </si>
  <si>
    <t>System to System Integration ICONIS Other</t>
  </si>
  <si>
    <t>Simplified PEF+enable/Disable System</t>
  </si>
  <si>
    <t>Simplified PEF+enable/Disable Core Development</t>
  </si>
  <si>
    <t>Simplified PEF+enable/Disable HMI Development</t>
  </si>
  <si>
    <t>Simplified PEF+enable/Disable DataPrep</t>
  </si>
  <si>
    <t>Simplified PEF+enable/Disable V&amp;V</t>
  </si>
  <si>
    <t>Simplified PEF+enable/Disable Other</t>
  </si>
  <si>
    <t>Territory Assignment Areas syncronization  System</t>
  </si>
  <si>
    <t>Territory Assignment Areas syncronization  Core Development</t>
  </si>
  <si>
    <t>Territory Assignment Areas syncronization  HMI Development</t>
  </si>
  <si>
    <t>Territory Assignment Areas syncronization  DataPrep</t>
  </si>
  <si>
    <t>Territory Assignment Areas syncronization  V&amp;V</t>
  </si>
  <si>
    <t>Territory Assignment Areas syncronization  Other</t>
  </si>
  <si>
    <t>Digital possession and safety notes System</t>
  </si>
  <si>
    <t>Digital possession and safety notes Core Development</t>
  </si>
  <si>
    <t>Digital possession and safety notes HMI Development</t>
  </si>
  <si>
    <t>Digital possession and safety notes DataPrep</t>
  </si>
  <si>
    <t>Digital possession and safety notes V&amp;V</t>
  </si>
  <si>
    <t>Digital possession and safety notes Other</t>
  </si>
  <si>
    <t>Extended PEF System</t>
  </si>
  <si>
    <t>Extended PEF Core Development</t>
  </si>
  <si>
    <t>Extended PEF HMI Development</t>
  </si>
  <si>
    <t>Extended PEF DataPrep</t>
  </si>
  <si>
    <t>Extended PEF V&amp;V</t>
  </si>
  <si>
    <t>Extended PEF Other</t>
  </si>
  <si>
    <t>Conflict Detection System</t>
  </si>
  <si>
    <t>Conflict Detection Core Development</t>
  </si>
  <si>
    <t>Conflict Detection HMI Development</t>
  </si>
  <si>
    <t>Conflict Detection DataPrep</t>
  </si>
  <si>
    <t>Conflict Detection V&amp;V</t>
  </si>
  <si>
    <t>Conflict Detection Other</t>
  </si>
  <si>
    <t>light client ICONIS - EBICOS Integration  System</t>
  </si>
  <si>
    <t>light client ICONIS - EBICOS Integration  Core Development</t>
  </si>
  <si>
    <t>light client ICONIS - EBICOS Integration  HMI Development</t>
  </si>
  <si>
    <t>light client ICONIS - EBICOS Integration  DataPrep</t>
  </si>
  <si>
    <t>light client ICONIS - EBICOS Integration  V&amp;V</t>
  </si>
  <si>
    <t>light client ICONIS - EBICOS Integration  Other</t>
  </si>
  <si>
    <t xml:space="preserve">
TSR indication integration (Digital possession and safety notes)  System</t>
  </si>
  <si>
    <t xml:space="preserve">
TSR indication integration (Digital possession and safety notes)  Core Development</t>
  </si>
  <si>
    <t xml:space="preserve">
TSR indication integration (Digital possession and safety notes)  HMI Development</t>
  </si>
  <si>
    <t xml:space="preserve">
TSR indication integration (Digital possession and safety notes)  DataPrep</t>
  </si>
  <si>
    <t xml:space="preserve">
TSR indication integration (Digital possession and safety notes)  V&amp;V</t>
  </si>
  <si>
    <t xml:space="preserve">
TSR indication integration (Digital possession and safety notes)  Other</t>
  </si>
  <si>
    <t>BC Offline Services Support System</t>
  </si>
  <si>
    <t>BC Offline Services Support Core Development</t>
  </si>
  <si>
    <t>BC Offline Services Support HMI Development</t>
  </si>
  <si>
    <t>BC Offline Services Support DataPrep</t>
  </si>
  <si>
    <t>BC Offline Services Support V&amp;V</t>
  </si>
  <si>
    <t>BC Offline Services Support Other</t>
  </si>
  <si>
    <t>BC External Interface Support System</t>
  </si>
  <si>
    <t>BC External Interface Support Core Development</t>
  </si>
  <si>
    <t>BC External Interface Support HMI Development</t>
  </si>
  <si>
    <t>BC External Interface Support DataPrep</t>
  </si>
  <si>
    <t>BC External Interface Support V&amp;V</t>
  </si>
  <si>
    <t>BC External Interface Support Other</t>
  </si>
  <si>
    <t>BC Maintenance console update System</t>
  </si>
  <si>
    <t>BC Maintenance console update Core Development</t>
  </si>
  <si>
    <t>BC Maintenance console update HMI Development</t>
  </si>
  <si>
    <t>BC Maintenance console update DataPrep</t>
  </si>
  <si>
    <t>BC Maintenance console update V&amp;V</t>
  </si>
  <si>
    <t>BC Maintenance console update Other</t>
  </si>
  <si>
    <t>TAC System</t>
  </si>
  <si>
    <t>TAC Core Development</t>
  </si>
  <si>
    <t>TAC HMI Development</t>
  </si>
  <si>
    <t>TAC DataPrep</t>
  </si>
  <si>
    <t>TAC V&amp;V</t>
  </si>
  <si>
    <t>TAC Other</t>
  </si>
  <si>
    <t>TAPV (PBC) System</t>
  </si>
  <si>
    <t>TAPV (PBC) Core Development</t>
  </si>
  <si>
    <t>TAPV (PBC) HMI Development</t>
  </si>
  <si>
    <t>TAPV (PBC) DataPrep</t>
  </si>
  <si>
    <t>TAPV (PBC) V&amp;V</t>
  </si>
  <si>
    <t>TAPV (PBC) Other</t>
  </si>
  <si>
    <t>Shunting plan handling System</t>
  </si>
  <si>
    <t>Shunting plan handling Core Development</t>
  </si>
  <si>
    <t>Shunting plan handling HMI Development</t>
  </si>
  <si>
    <t>Shunting plan handling DataPrep</t>
  </si>
  <si>
    <t>Shunting plan handling V&amp;V</t>
  </si>
  <si>
    <t>Shunting plan handling Other</t>
  </si>
  <si>
    <t>ERTMS System</t>
  </si>
  <si>
    <t>ERTMS Core Development</t>
  </si>
  <si>
    <t>ERTMS HMI Development</t>
  </si>
  <si>
    <t>ERTMS DataPrep</t>
  </si>
  <si>
    <t>ERTMS V&amp;V</t>
  </si>
  <si>
    <t>ERTMS Other</t>
  </si>
  <si>
    <t>MPK(Shunting Plan) System</t>
  </si>
  <si>
    <t>MPK(Shunting Plan) Core Development</t>
  </si>
  <si>
    <t>MPK(Shunting Plan) HMI Development</t>
  </si>
  <si>
    <t>MPK(Shunting Plan) DataPrep</t>
  </si>
  <si>
    <t>MPK(Shunting Plan) V&amp;V</t>
  </si>
  <si>
    <t>MPK(Shunting Plan) Other</t>
  </si>
  <si>
    <t>Bridge Diag. &amp; Log Connector System</t>
  </si>
  <si>
    <t>Bridge Diag. &amp; Log Connector Core Development</t>
  </si>
  <si>
    <t>Bridge Diag. &amp; Log Connector HMI Development</t>
  </si>
  <si>
    <t>Bridge Diag. &amp; Log Connector DataPrep</t>
  </si>
  <si>
    <t>Bridge Diag. &amp; Log Connector V&amp;V</t>
  </si>
  <si>
    <t>Bridge Diag. &amp; Log Connector Other</t>
  </si>
  <si>
    <t>BC merged in the main branch System</t>
  </si>
  <si>
    <t>BC merged in the main branch Core Development</t>
  </si>
  <si>
    <t>BC merged in the main branch HMI Development</t>
  </si>
  <si>
    <t>BC merged in the main branch DataPrep</t>
  </si>
  <si>
    <t>BC merged in the main branch V&amp;V</t>
  </si>
  <si>
    <t>BC merged in the main branch Other</t>
  </si>
  <si>
    <t>BC Multi region  System</t>
  </si>
  <si>
    <t>BC Multi region  Core Development</t>
  </si>
  <si>
    <t>BC Multi region  HMI Development</t>
  </si>
  <si>
    <t>BC Multi region  DataPrep</t>
  </si>
  <si>
    <t>BC Multi region  V&amp;V</t>
  </si>
  <si>
    <t>BC Multi region  Other</t>
  </si>
  <si>
    <t>Link Interactions technical offer TBC System</t>
  </si>
  <si>
    <t>Link Interactions technical offer TBC Core Development</t>
  </si>
  <si>
    <t>Link Interactions technical offer TBC HMI Development</t>
  </si>
  <si>
    <t>Link Interactions technical offer TBC DataPrep</t>
  </si>
  <si>
    <t>Link Interactions technical offer TBC V&amp;V</t>
  </si>
  <si>
    <t>Link Interactions technical offer TBC Other</t>
  </si>
  <si>
    <t>MPK (possession) System</t>
  </si>
  <si>
    <t>MPK (possession) Core Development</t>
  </si>
  <si>
    <t>MPK (possession) HMI Development</t>
  </si>
  <si>
    <t>MPK (possession) DataPrep</t>
  </si>
  <si>
    <t>MPK (possession) V&amp;V</t>
  </si>
  <si>
    <t>MPK (possession) Other</t>
  </si>
  <si>
    <t>Krorder System</t>
  </si>
  <si>
    <t>Krorder Core Development</t>
  </si>
  <si>
    <t>Krorder HMI Development</t>
  </si>
  <si>
    <t>Krorder DataPrep</t>
  </si>
  <si>
    <t>Krorder V&amp;V</t>
  </si>
  <si>
    <t>Krorder Other</t>
  </si>
  <si>
    <t>Causal Report System</t>
  </si>
  <si>
    <t>Causal Report Core Development</t>
  </si>
  <si>
    <t>Causal Report HMI Development</t>
  </si>
  <si>
    <t>Causal Report DataPrep</t>
  </si>
  <si>
    <t>Causal Report V&amp;V</t>
  </si>
  <si>
    <t>Causal Report Other</t>
  </si>
  <si>
    <t>TAPV (RPC) System</t>
  </si>
  <si>
    <t>TAPV (RPC) Core Development</t>
  </si>
  <si>
    <t>TAPV (RPC) HMI Development</t>
  </si>
  <si>
    <t>TAPV (RPC) DataPrep</t>
  </si>
  <si>
    <t>TAPV (RPC) V&amp;V</t>
  </si>
  <si>
    <t>TAPV (RPC) Other</t>
  </si>
  <si>
    <t>Operational notes System</t>
  </si>
  <si>
    <t>Operational notes Core Development</t>
  </si>
  <si>
    <t>Operational notes HMI Development</t>
  </si>
  <si>
    <t>Operational notes DataPrep</t>
  </si>
  <si>
    <t>Operational notes V&amp;V</t>
  </si>
  <si>
    <t>Operational notes Other</t>
  </si>
  <si>
    <t>Conflict Solution System</t>
  </si>
  <si>
    <t>Conflict Solution Core Development</t>
  </si>
  <si>
    <t>Conflict Solution HMI Development</t>
  </si>
  <si>
    <t>Conflict Solution DataPrep</t>
  </si>
  <si>
    <t>Conflict Solution V&amp;V</t>
  </si>
  <si>
    <t>Conflict Solution Other</t>
  </si>
  <si>
    <t>PPS System</t>
  </si>
  <si>
    <t>PPS Core Development</t>
  </si>
  <si>
    <t>PPS HMI Development</t>
  </si>
  <si>
    <t>PPS DataPrep</t>
  </si>
  <si>
    <t>PPS V&amp;V</t>
  </si>
  <si>
    <t>PPS Other</t>
  </si>
  <si>
    <t>Show &amp;Hide System</t>
  </si>
  <si>
    <t>Show &amp;Hide Core Development</t>
  </si>
  <si>
    <t>Show &amp;Hide HMI Development</t>
  </si>
  <si>
    <t>Show &amp;Hide DataPrep</t>
  </si>
  <si>
    <t>Show &amp;Hide V&amp;V</t>
  </si>
  <si>
    <t>Show &amp;Hide Other</t>
  </si>
  <si>
    <t>Automated routines System</t>
  </si>
  <si>
    <t>Automated routines Core Development</t>
  </si>
  <si>
    <t>Automated routines HMI Development</t>
  </si>
  <si>
    <t>Automated routines DataPrep</t>
  </si>
  <si>
    <t>Automated routines V&amp;V</t>
  </si>
  <si>
    <t>Automated routines Other</t>
  </si>
  <si>
    <t>ATL System</t>
  </si>
  <si>
    <t>ATL Core Development</t>
  </si>
  <si>
    <t>ATL HMI Development</t>
  </si>
  <si>
    <t>ATL DataPrep</t>
  </si>
  <si>
    <t>ATL V&amp;V</t>
  </si>
  <si>
    <t>ATL Other</t>
  </si>
  <si>
    <t>DAS System</t>
  </si>
  <si>
    <t>DAS Core Development</t>
  </si>
  <si>
    <t>DAS HMI Development</t>
  </si>
  <si>
    <t>DAS DataPrep</t>
  </si>
  <si>
    <t>DAS V&amp;V</t>
  </si>
  <si>
    <t>DAS Other</t>
  </si>
  <si>
    <t>Knowledge of local conditions System</t>
  </si>
  <si>
    <t>Knowledge of local conditions Core Development</t>
  </si>
  <si>
    <t>Knowledge of local conditions HMI Development</t>
  </si>
  <si>
    <t>Knowledge of local conditions DataPrep</t>
  </si>
  <si>
    <t>Knowledge of local conditions V&amp;V</t>
  </si>
  <si>
    <t>Knowledge of local conditions Other</t>
  </si>
  <si>
    <t>LAT refactoring System</t>
  </si>
  <si>
    <t>LAT refactoring Core Development</t>
  </si>
  <si>
    <t>LAT refactoring HMI Development</t>
  </si>
  <si>
    <t>LAT refactoring DataPrep</t>
  </si>
  <si>
    <t>LAT refactoring V&amp;V</t>
  </si>
  <si>
    <t>LAT refactoring Other</t>
  </si>
  <si>
    <t>Tech tool adaption System</t>
  </si>
  <si>
    <t>Tech tool adaption Core Development</t>
  </si>
  <si>
    <t>Tech tool adaption HMI Development</t>
  </si>
  <si>
    <t>Tech tool adaption DataPrep</t>
  </si>
  <si>
    <t>Tech tool adaption V&amp;V</t>
  </si>
  <si>
    <t>Tech tool adaption Other</t>
  </si>
  <si>
    <t>Authority related to time System</t>
  </si>
  <si>
    <t>Authority related to time Core Development</t>
  </si>
  <si>
    <t>Authority related to time HMI Development</t>
  </si>
  <si>
    <t>Authority related to time DataPrep</t>
  </si>
  <si>
    <t>Authority related to time V&amp;V</t>
  </si>
  <si>
    <t>Authority related to time Other</t>
  </si>
  <si>
    <t xml:space="preserve"> Dummy Node Points  technical offer TBC System</t>
  </si>
  <si>
    <t xml:space="preserve"> Dummy Node Points  technical offer TBC Core Development</t>
  </si>
  <si>
    <t xml:space="preserve"> Dummy Node Points  technical offer TBC HMI Development</t>
  </si>
  <si>
    <t xml:space="preserve"> Dummy Node Points  technical offer TBC DataPrep</t>
  </si>
  <si>
    <t xml:space="preserve"> Dummy Node Points  technical offer TBC V&amp;V</t>
  </si>
  <si>
    <t xml:space="preserve"> Dummy Node Points  technical offer TBC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</si>
</sst>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_-* #,##0.00\ _€_-;\-* #,##0.00\ _€_-;_-* &quot;-&quot;??\ _€_-;_-@_-"/>
    <numFmt numFmtId="167" formatCode="_-* #,##0.0_-;\-* #,##0.0_-;_-* &quot;-&quot;??_-;_-@_-"/>
    <numFmt numFmtId="168" formatCode="[$-410]mmm\-yy;@"/>
  </numFmts>
  <fonts count="29" x14ac:knownFonts="1">
    <font>
      <sz val="11"/>
      <color theme="1"/>
      <name val="Calibri"/>
      <family val="2"/>
      <scheme val="minor"/>
    </font>
    <font>
      <b/>
      <sz val="11"/>
      <color theme="1"/>
      <name val="Calibri"/>
      <family val="2"/>
      <scheme val="minor"/>
    </font>
    <font>
      <u/>
      <sz val="11"/>
      <color theme="10"/>
      <name val="Calibri"/>
      <family val="2"/>
      <scheme val="minor"/>
    </font>
    <font>
      <sz val="8"/>
      <name val="Calibri"/>
      <family val="2"/>
      <scheme val="minor"/>
    </font>
    <font>
      <sz val="11"/>
      <color rgb="FFFF0000"/>
      <name val="Calibri"/>
      <family val="2"/>
      <scheme val="minor"/>
    </font>
    <font>
      <sz val="11"/>
      <name val="Calibri"/>
      <family val="2"/>
      <scheme val="minor"/>
    </font>
    <font>
      <strike/>
      <sz val="11"/>
      <color theme="1"/>
      <name val="Calibri"/>
      <family val="2"/>
      <scheme val="minor"/>
    </font>
    <font>
      <strike/>
      <sz val="11"/>
      <name val="Calibri"/>
      <family val="2"/>
      <scheme val="minor"/>
    </font>
    <font>
      <b/>
      <i/>
      <sz val="11"/>
      <color theme="1"/>
      <name val="Calibri"/>
      <family val="2"/>
      <scheme val="minor"/>
    </font>
    <font>
      <sz val="11"/>
      <color theme="1"/>
      <name val="Wingdings"/>
      <charset val="2"/>
    </font>
    <font>
      <b/>
      <sz val="11"/>
      <name val="Calibri"/>
      <family val="2"/>
      <scheme val="minor"/>
    </font>
    <font>
      <sz val="9"/>
      <color indexed="81"/>
      <name val="Tahoma"/>
      <family val="2"/>
    </font>
    <font>
      <b/>
      <sz val="9"/>
      <color indexed="81"/>
      <name val="Tahoma"/>
      <family val="2"/>
    </font>
    <font>
      <u/>
      <sz val="11"/>
      <name val="Calibri"/>
      <family val="2"/>
      <scheme val="minor"/>
    </font>
    <font>
      <strike/>
      <u/>
      <sz val="11"/>
      <name val="Calibri"/>
      <family val="2"/>
      <scheme val="minor"/>
    </font>
    <font>
      <b/>
      <sz val="11"/>
      <color rgb="FF000000"/>
      <name val="Calibri"/>
      <family val="2"/>
    </font>
    <font>
      <sz val="11"/>
      <color rgb="FF000000"/>
      <name val="Calibri"/>
      <family val="2"/>
    </font>
    <font>
      <sz val="11"/>
      <color theme="1"/>
      <name val="Calibri"/>
      <family val="2"/>
      <scheme val="minor"/>
    </font>
    <font>
      <b/>
      <strike/>
      <sz val="11"/>
      <name val="Calibri"/>
      <family val="2"/>
      <scheme val="minor"/>
    </font>
    <font>
      <b/>
      <sz val="11"/>
      <color rgb="FFFF0000"/>
      <name val="Calibri"/>
      <family val="2"/>
      <scheme val="minor"/>
    </font>
    <font>
      <strike/>
      <sz val="11"/>
      <color rgb="FF000000"/>
      <name val="Calibri"/>
      <family val="2"/>
    </font>
    <font>
      <sz val="11"/>
      <name val="Calibri"/>
      <family val="2"/>
    </font>
    <font>
      <sz val="11"/>
      <color rgb="FFFF0000"/>
      <name val="Calibri"/>
      <family val="2"/>
    </font>
    <font>
      <strike/>
      <sz val="11"/>
      <color rgb="FFFF0000"/>
      <name val="Calibri"/>
      <family val="2"/>
    </font>
    <font>
      <b/>
      <sz val="11"/>
      <color theme="0"/>
      <name val="Alstom Black"/>
    </font>
    <font>
      <sz val="11"/>
      <color theme="1"/>
      <name val="Alstom"/>
    </font>
    <font>
      <b/>
      <sz val="11"/>
      <color theme="1"/>
      <name val="Alstom"/>
    </font>
    <font>
      <b/>
      <i/>
      <sz val="22"/>
      <color theme="1"/>
      <name val="Calibri"/>
      <family val="2"/>
      <scheme val="minor"/>
    </font>
    <font>
      <i/>
      <sz val="11"/>
      <color theme="1"/>
      <name val="Calibri"/>
      <family val="2"/>
      <scheme val="minor"/>
    </font>
  </fonts>
  <fills count="2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DD7EE"/>
        <bgColor rgb="FF000000"/>
      </patternFill>
    </fill>
    <fill>
      <patternFill patternType="solid">
        <fgColor rgb="FFFFF2CC"/>
        <bgColor indexed="64"/>
      </patternFill>
    </fill>
    <fill>
      <patternFill patternType="solid">
        <fgColor theme="0" tint="-0.14999847407452621"/>
        <bgColor indexed="64"/>
      </patternFill>
    </fill>
    <fill>
      <patternFill patternType="solid">
        <fgColor theme="7"/>
        <bgColor indexed="64"/>
      </patternFill>
    </fill>
    <fill>
      <patternFill patternType="solid">
        <fgColor theme="5"/>
        <bgColor indexed="64"/>
      </patternFill>
    </fill>
    <fill>
      <patternFill patternType="solid">
        <fgColor theme="9"/>
        <bgColor indexed="64"/>
      </patternFill>
    </fill>
    <fill>
      <patternFill patternType="solid">
        <fgColor theme="4"/>
        <bgColor indexed="64"/>
      </patternFill>
    </fill>
    <fill>
      <patternFill patternType="solid">
        <fgColor theme="8"/>
        <bgColor indexed="64"/>
      </patternFill>
    </fill>
    <fill>
      <patternFill patternType="solid">
        <fgColor theme="5" tint="0.59999389629810485"/>
        <bgColor indexed="64"/>
      </patternFill>
    </fill>
    <fill>
      <patternFill patternType="solid">
        <fgColor theme="0"/>
        <bgColor indexed="64"/>
      </patternFill>
    </fill>
    <fill>
      <patternFill patternType="solid">
        <fgColor rgb="FFE2EFDA"/>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92D05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theme="4"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diagonal/>
    </border>
    <border>
      <left/>
      <right/>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2" fillId="0" borderId="0" applyNumberFormat="0" applyFill="0" applyBorder="0" applyAlignment="0" applyProtection="0"/>
    <xf numFmtId="9" fontId="17" fillId="0" borderId="0" applyFont="0" applyFill="0" applyBorder="0" applyAlignment="0" applyProtection="0"/>
    <xf numFmtId="43" fontId="17" fillId="0" borderId="0" applyFont="0" applyFill="0" applyBorder="0" applyAlignment="0" applyProtection="0"/>
    <xf numFmtId="166" fontId="17" fillId="0" borderId="0" applyFont="0" applyFill="0" applyBorder="0" applyAlignment="0" applyProtection="0"/>
  </cellStyleXfs>
  <cellXfs count="261">
    <xf numFmtId="0" fontId="0" fillId="0" borderId="0" xfId="0"/>
    <xf numFmtId="0" fontId="0" fillId="0" borderId="1" xfId="0" applyBorder="1"/>
    <xf numFmtId="0" fontId="1" fillId="2" borderId="1" xfId="0" applyFont="1" applyFill="1" applyBorder="1"/>
    <xf numFmtId="0" fontId="0" fillId="0" borderId="1" xfId="0" applyBorder="1" applyAlignment="1">
      <alignment wrapText="1"/>
    </xf>
    <xf numFmtId="0" fontId="0" fillId="0" borderId="1" xfId="0" applyBorder="1" applyAlignment="1">
      <alignment horizontal="center" vertical="center"/>
    </xf>
    <xf numFmtId="14" fontId="0" fillId="0" borderId="1" xfId="0" applyNumberFormat="1" applyBorder="1"/>
    <xf numFmtId="0" fontId="6" fillId="0" borderId="1" xfId="0" applyFont="1" applyBorder="1" applyAlignment="1">
      <alignment horizontal="center" vertical="center"/>
    </xf>
    <xf numFmtId="0" fontId="6" fillId="0" borderId="0" xfId="0" applyFont="1"/>
    <xf numFmtId="0" fontId="8" fillId="0" borderId="1" xfId="0" applyFont="1" applyBorder="1"/>
    <xf numFmtId="0" fontId="0" fillId="0" borderId="0" xfId="0" applyAlignment="1">
      <alignment horizontal="center" vertical="center"/>
    </xf>
    <xf numFmtId="0" fontId="5" fillId="0" borderId="1" xfId="0" applyFont="1" applyBorder="1" applyAlignment="1">
      <alignment horizontal="center" vertical="center"/>
    </xf>
    <xf numFmtId="0" fontId="5" fillId="3" borderId="1" xfId="0" applyFont="1" applyFill="1" applyBorder="1" applyAlignment="1">
      <alignment horizontal="center" vertical="center"/>
    </xf>
    <xf numFmtId="0" fontId="1" fillId="0" borderId="0" xfId="0" applyFont="1"/>
    <xf numFmtId="0" fontId="0" fillId="3" borderId="0" xfId="0" applyFill="1"/>
    <xf numFmtId="0" fontId="5" fillId="4" borderId="1" xfId="0" applyFont="1" applyFill="1" applyBorder="1" applyAlignment="1">
      <alignment horizontal="center" vertical="center"/>
    </xf>
    <xf numFmtId="0" fontId="7" fillId="4" borderId="1" xfId="0" applyFont="1" applyFill="1" applyBorder="1" applyAlignment="1">
      <alignment horizontal="center" vertical="center"/>
    </xf>
    <xf numFmtId="0" fontId="7" fillId="0" borderId="1" xfId="0" applyFont="1" applyBorder="1" applyAlignment="1">
      <alignment horizontal="center" vertical="center"/>
    </xf>
    <xf numFmtId="14" fontId="5" fillId="0" borderId="1" xfId="0" applyNumberFormat="1" applyFont="1" applyBorder="1" applyAlignment="1">
      <alignment horizontal="center" vertical="center"/>
    </xf>
    <xf numFmtId="0" fontId="13" fillId="0" borderId="1" xfId="1" applyFont="1" applyFill="1" applyBorder="1" applyAlignment="1">
      <alignment horizontal="center" vertical="center"/>
    </xf>
    <xf numFmtId="0" fontId="13" fillId="4" borderId="1" xfId="1" applyFont="1" applyFill="1" applyBorder="1" applyAlignment="1">
      <alignment horizontal="center" vertical="center"/>
    </xf>
    <xf numFmtId="0" fontId="13" fillId="0" borderId="1" xfId="1" applyFont="1" applyBorder="1" applyAlignment="1">
      <alignment horizontal="center" vertical="center"/>
    </xf>
    <xf numFmtId="0" fontId="5" fillId="0" borderId="0" xfId="0" applyFont="1" applyAlignment="1">
      <alignment horizontal="center" vertical="center"/>
    </xf>
    <xf numFmtId="0" fontId="5" fillId="0" borderId="7" xfId="0" applyFont="1" applyBorder="1" applyAlignment="1">
      <alignment horizontal="center" vertical="center"/>
    </xf>
    <xf numFmtId="0" fontId="0" fillId="0" borderId="0" xfId="0" applyAlignment="1">
      <alignment horizontal="left" vertical="center"/>
    </xf>
    <xf numFmtId="0" fontId="0" fillId="2" borderId="0" xfId="0" applyFill="1" applyAlignment="1">
      <alignment horizontal="center" vertical="center"/>
    </xf>
    <xf numFmtId="0" fontId="1" fillId="2" borderId="0" xfId="0" applyFont="1" applyFill="1" applyAlignment="1">
      <alignment horizontal="center" vertical="center"/>
    </xf>
    <xf numFmtId="0" fontId="4" fillId="0" borderId="0" xfId="0" applyFont="1" applyAlignment="1">
      <alignment horizontal="center" vertical="center"/>
    </xf>
    <xf numFmtId="0" fontId="5" fillId="4" borderId="1" xfId="0" applyFont="1" applyFill="1" applyBorder="1" applyAlignment="1">
      <alignment horizontal="left" vertical="center" wrapText="1"/>
    </xf>
    <xf numFmtId="14" fontId="5" fillId="4" borderId="1" xfId="0" applyNumberFormat="1" applyFont="1" applyFill="1" applyBorder="1" applyAlignment="1">
      <alignment horizontal="left" vertical="center" wrapText="1"/>
    </xf>
    <xf numFmtId="14" fontId="5" fillId="4" borderId="1" xfId="0" applyNumberFormat="1" applyFont="1" applyFill="1" applyBorder="1" applyAlignment="1">
      <alignment horizontal="left" vertical="center"/>
    </xf>
    <xf numFmtId="0" fontId="5" fillId="0" borderId="1" xfId="0" applyFont="1" applyBorder="1" applyAlignment="1">
      <alignment horizontal="left" vertical="center" wrapText="1"/>
    </xf>
    <xf numFmtId="0" fontId="5" fillId="0" borderId="8" xfId="0" applyFont="1" applyBorder="1" applyAlignment="1">
      <alignment horizontal="left" vertical="center"/>
    </xf>
    <xf numFmtId="0" fontId="5" fillId="0" borderId="4" xfId="0" applyFont="1" applyBorder="1" applyAlignment="1">
      <alignment horizontal="left" vertical="center"/>
    </xf>
    <xf numFmtId="0" fontId="5" fillId="0" borderId="6" xfId="0" applyFont="1" applyBorder="1" applyAlignment="1">
      <alignment horizontal="center" vertical="center"/>
    </xf>
    <xf numFmtId="0" fontId="4" fillId="0" borderId="1" xfId="0" applyFont="1" applyBorder="1" applyAlignment="1">
      <alignment horizontal="center" vertical="center"/>
    </xf>
    <xf numFmtId="0" fontId="0" fillId="3" borderId="0" xfId="0" applyFill="1" applyAlignment="1">
      <alignment horizontal="left" vertical="center"/>
    </xf>
    <xf numFmtId="0" fontId="0" fillId="3" borderId="0" xfId="0" applyFill="1" applyAlignment="1">
      <alignment horizontal="center" vertical="center"/>
    </xf>
    <xf numFmtId="10" fontId="0" fillId="0" borderId="0" xfId="0" applyNumberFormat="1" applyAlignment="1">
      <alignment horizontal="center" vertical="center"/>
    </xf>
    <xf numFmtId="0" fontId="1" fillId="2" borderId="1" xfId="0" applyFont="1" applyFill="1" applyBorder="1" applyAlignment="1">
      <alignment horizontal="center" vertical="center" wrapText="1"/>
    </xf>
    <xf numFmtId="0" fontId="2" fillId="0" borderId="1" xfId="1" applyFill="1" applyBorder="1" applyAlignment="1">
      <alignment horizontal="center" vertical="center"/>
    </xf>
    <xf numFmtId="0" fontId="2" fillId="4" borderId="1" xfId="1" applyFill="1" applyBorder="1" applyAlignment="1">
      <alignment horizontal="center" vertical="center"/>
    </xf>
    <xf numFmtId="0" fontId="5" fillId="4" borderId="1" xfId="0" applyFont="1" applyFill="1" applyBorder="1" applyAlignment="1">
      <alignment horizontal="center" vertical="center" wrapText="1"/>
    </xf>
    <xf numFmtId="0" fontId="16" fillId="0" borderId="0" xfId="0" applyFont="1" applyAlignment="1">
      <alignment wrapText="1"/>
    </xf>
    <xf numFmtId="0" fontId="16" fillId="0" borderId="1" xfId="0" applyFont="1" applyBorder="1"/>
    <xf numFmtId="0" fontId="0" fillId="0" borderId="0" xfId="0" applyAlignment="1">
      <alignment wrapText="1"/>
    </xf>
    <xf numFmtId="0" fontId="5" fillId="0" borderId="0" xfId="0" applyFont="1" applyAlignment="1">
      <alignment horizontal="left" vertical="center"/>
    </xf>
    <xf numFmtId="0" fontId="5" fillId="0" borderId="5" xfId="0" applyFont="1" applyBorder="1" applyAlignment="1">
      <alignment horizontal="left" vertical="center"/>
    </xf>
    <xf numFmtId="164" fontId="5" fillId="4" borderId="1" xfId="2" applyNumberFormat="1" applyFont="1" applyFill="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10" fontId="4" fillId="0" borderId="5" xfId="0" applyNumberFormat="1" applyFont="1" applyBorder="1" applyAlignment="1">
      <alignment horizontal="center" vertical="center"/>
    </xf>
    <xf numFmtId="0" fontId="19" fillId="0" borderId="0" xfId="0" applyFont="1" applyAlignment="1">
      <alignment horizontal="center" vertical="center"/>
    </xf>
    <xf numFmtId="0" fontId="4" fillId="3" borderId="1" xfId="0" applyFont="1" applyFill="1" applyBorder="1" applyAlignment="1">
      <alignment horizontal="center" vertical="center"/>
    </xf>
    <xf numFmtId="0" fontId="5" fillId="4" borderId="9" xfId="0" applyFont="1" applyFill="1" applyBorder="1" applyAlignment="1">
      <alignment horizontal="center" vertical="center"/>
    </xf>
    <xf numFmtId="0" fontId="7" fillId="4" borderId="1" xfId="0" applyFont="1" applyFill="1" applyBorder="1" applyAlignment="1">
      <alignment horizontal="left" vertical="center"/>
    </xf>
    <xf numFmtId="164" fontId="7" fillId="4" borderId="1" xfId="2" applyNumberFormat="1" applyFont="1" applyFill="1" applyBorder="1" applyAlignment="1">
      <alignment horizontal="center" vertical="center" wrapText="1"/>
    </xf>
    <xf numFmtId="0" fontId="1" fillId="2" borderId="10" xfId="0" applyFont="1" applyFill="1" applyBorder="1" applyAlignment="1">
      <alignment horizontal="center" vertical="center" wrapText="1"/>
    </xf>
    <xf numFmtId="0" fontId="0" fillId="0" borderId="1" xfId="0" applyBorder="1" applyAlignment="1">
      <alignment horizontal="center" vertical="center" wrapText="1"/>
    </xf>
    <xf numFmtId="0" fontId="5" fillId="7" borderId="0" xfId="0" applyFont="1" applyFill="1" applyAlignment="1">
      <alignment horizontal="center" vertical="center"/>
    </xf>
    <xf numFmtId="0" fontId="0" fillId="7" borderId="0" xfId="0" applyFill="1" applyAlignment="1">
      <alignment horizontal="center" vertical="center" wrapText="1"/>
    </xf>
    <xf numFmtId="0" fontId="0" fillId="7" borderId="0" xfId="0" applyFill="1" applyAlignment="1">
      <alignment horizontal="center" vertical="center"/>
    </xf>
    <xf numFmtId="0" fontId="1" fillId="7" borderId="0" xfId="0" applyFont="1" applyFill="1" applyAlignment="1">
      <alignment horizontal="center" vertical="center"/>
    </xf>
    <xf numFmtId="0" fontId="0" fillId="0" borderId="9" xfId="0" applyBorder="1" applyAlignment="1">
      <alignment horizontal="center" vertical="center"/>
    </xf>
    <xf numFmtId="0" fontId="7" fillId="4" borderId="9" xfId="0" applyFont="1" applyFill="1" applyBorder="1" applyAlignment="1">
      <alignment horizontal="center" vertical="center"/>
    </xf>
    <xf numFmtId="0" fontId="7" fillId="0" borderId="9" xfId="0" applyFont="1" applyBorder="1" applyAlignment="1">
      <alignment horizontal="center" vertical="center"/>
    </xf>
    <xf numFmtId="0" fontId="16" fillId="0" borderId="0" xfId="0" applyFont="1" applyAlignment="1">
      <alignment vertical="center"/>
    </xf>
    <xf numFmtId="0" fontId="16" fillId="0" borderId="0" xfId="0" applyFont="1" applyAlignment="1">
      <alignment horizontal="right" vertical="center"/>
    </xf>
    <xf numFmtId="0" fontId="0" fillId="3" borderId="1" xfId="0" applyFill="1" applyBorder="1" applyAlignment="1">
      <alignment horizontal="center"/>
    </xf>
    <xf numFmtId="0" fontId="16" fillId="8" borderId="1" xfId="0" applyFont="1" applyFill="1" applyBorder="1" applyAlignment="1">
      <alignment horizontal="center" vertical="center"/>
    </xf>
    <xf numFmtId="0" fontId="0" fillId="11" borderId="1" xfId="0" applyFill="1" applyBorder="1" applyAlignment="1">
      <alignment horizontal="center" vertical="center"/>
    </xf>
    <xf numFmtId="0" fontId="0" fillId="10" borderId="1" xfId="0" applyFill="1" applyBorder="1" applyAlignment="1">
      <alignment horizontal="center"/>
    </xf>
    <xf numFmtId="0" fontId="0" fillId="4" borderId="0" xfId="0" applyFill="1"/>
    <xf numFmtId="0" fontId="16" fillId="4" borderId="0" xfId="0" applyFont="1" applyFill="1" applyAlignment="1">
      <alignment vertical="center"/>
    </xf>
    <xf numFmtId="0" fontId="0" fillId="13" borderId="1" xfId="0" applyFill="1" applyBorder="1" applyAlignment="1">
      <alignment horizontal="center" vertical="center"/>
    </xf>
    <xf numFmtId="0" fontId="16" fillId="14" borderId="0" xfId="0" applyFont="1" applyFill="1" applyAlignment="1">
      <alignment vertical="center"/>
    </xf>
    <xf numFmtId="0" fontId="16" fillId="3" borderId="0" xfId="0" applyFont="1" applyFill="1" applyAlignment="1">
      <alignment vertical="center"/>
    </xf>
    <xf numFmtId="0" fontId="0" fillId="15" borderId="0" xfId="0" applyFill="1"/>
    <xf numFmtId="0" fontId="2" fillId="0" borderId="0" xfId="1"/>
    <xf numFmtId="0" fontId="5" fillId="0" borderId="1" xfId="0" applyFont="1" applyBorder="1" applyAlignment="1">
      <alignment horizontal="center" vertical="center" wrapText="1"/>
    </xf>
    <xf numFmtId="0" fontId="2" fillId="4" borderId="1" xfId="1" applyFill="1" applyBorder="1" applyAlignment="1">
      <alignment horizontal="center" vertical="center" wrapText="1"/>
    </xf>
    <xf numFmtId="14" fontId="5" fillId="4" borderId="1" xfId="0" applyNumberFormat="1" applyFont="1" applyFill="1" applyBorder="1" applyAlignment="1">
      <alignment horizontal="center" vertical="center"/>
    </xf>
    <xf numFmtId="0" fontId="16" fillId="0" borderId="1" xfId="0" applyFont="1" applyBorder="1" applyAlignment="1">
      <alignment wrapText="1"/>
    </xf>
    <xf numFmtId="14" fontId="7" fillId="0" borderId="1" xfId="0" applyNumberFormat="1" applyFont="1" applyBorder="1" applyAlignment="1">
      <alignment horizontal="center" vertical="center"/>
    </xf>
    <xf numFmtId="0" fontId="14" fillId="4" borderId="1" xfId="1" applyFont="1" applyFill="1" applyBorder="1" applyAlignment="1">
      <alignment horizontal="center" vertical="center"/>
    </xf>
    <xf numFmtId="0" fontId="0" fillId="4" borderId="1" xfId="0" applyFill="1" applyBorder="1" applyAlignment="1">
      <alignment horizontal="center" vertical="center"/>
    </xf>
    <xf numFmtId="0" fontId="16" fillId="6" borderId="1" xfId="0" applyFont="1" applyFill="1" applyBorder="1" applyAlignment="1">
      <alignment wrapText="1"/>
    </xf>
    <xf numFmtId="0" fontId="2" fillId="0" borderId="1" xfId="1" applyBorder="1" applyAlignment="1">
      <alignment horizontal="center" vertical="center"/>
    </xf>
    <xf numFmtId="0" fontId="20" fillId="0" borderId="1" xfId="0" applyFont="1" applyBorder="1" applyAlignment="1">
      <alignment wrapText="1"/>
    </xf>
    <xf numFmtId="0" fontId="0" fillId="3" borderId="1" xfId="0" applyFill="1" applyBorder="1" applyAlignment="1">
      <alignment horizontal="center" vertical="center"/>
    </xf>
    <xf numFmtId="14" fontId="5" fillId="0" borderId="1" xfId="0" applyNumberFormat="1" applyFont="1" applyBorder="1" applyAlignment="1">
      <alignment horizontal="left" vertical="center" wrapText="1"/>
    </xf>
    <xf numFmtId="0" fontId="5" fillId="14" borderId="1" xfId="0" applyFont="1" applyFill="1" applyBorder="1" applyAlignment="1">
      <alignment horizontal="center" vertical="center"/>
    </xf>
    <xf numFmtId="0" fontId="13" fillId="14" borderId="1" xfId="1" applyFont="1" applyFill="1" applyBorder="1" applyAlignment="1">
      <alignment horizontal="center" vertical="center"/>
    </xf>
    <xf numFmtId="0" fontId="6" fillId="4" borderId="1" xfId="0" applyFont="1" applyFill="1" applyBorder="1"/>
    <xf numFmtId="0" fontId="7" fillId="4" borderId="1" xfId="0" applyFont="1" applyFill="1" applyBorder="1" applyAlignment="1">
      <alignment horizontal="left" vertical="center" wrapText="1"/>
    </xf>
    <xf numFmtId="0" fontId="1" fillId="2" borderId="12" xfId="0" applyFont="1" applyFill="1" applyBorder="1" applyAlignment="1">
      <alignment horizontal="center" vertical="center" wrapText="1"/>
    </xf>
    <xf numFmtId="0" fontId="10" fillId="2" borderId="11" xfId="0" applyFont="1" applyFill="1" applyBorder="1" applyAlignment="1">
      <alignment horizontal="left" vertical="center"/>
    </xf>
    <xf numFmtId="0" fontId="7" fillId="4" borderId="9" xfId="0" applyFont="1" applyFill="1" applyBorder="1" applyAlignment="1">
      <alignment horizontal="left" vertical="center" wrapText="1"/>
    </xf>
    <xf numFmtId="0" fontId="16" fillId="0" borderId="9" xfId="0" applyFont="1" applyBorder="1" applyAlignment="1">
      <alignment wrapText="1"/>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15" xfId="0" applyFont="1" applyFill="1" applyBorder="1" applyAlignment="1">
      <alignment horizontal="center" vertical="center"/>
    </xf>
    <xf numFmtId="0" fontId="1" fillId="2" borderId="13"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4" fillId="0" borderId="1" xfId="1" applyFont="1" applyFill="1" applyBorder="1" applyAlignment="1">
      <alignment horizontal="center" vertical="center"/>
    </xf>
    <xf numFmtId="14" fontId="7" fillId="4" borderId="1" xfId="0" applyNumberFormat="1" applyFont="1" applyFill="1" applyBorder="1" applyAlignment="1">
      <alignment horizontal="left" vertical="center"/>
    </xf>
    <xf numFmtId="0" fontId="7" fillId="14" borderId="1" xfId="0" applyFont="1" applyFill="1" applyBorder="1" applyAlignment="1">
      <alignment horizontal="center" vertical="center"/>
    </xf>
    <xf numFmtId="0" fontId="14" fillId="14" borderId="1" xfId="1" applyFont="1" applyFill="1" applyBorder="1" applyAlignment="1">
      <alignment horizontal="center" vertical="center"/>
    </xf>
    <xf numFmtId="14" fontId="7" fillId="4" borderId="1" xfId="0" applyNumberFormat="1" applyFont="1" applyFill="1" applyBorder="1" applyAlignment="1">
      <alignment horizontal="center" vertical="center"/>
    </xf>
    <xf numFmtId="0" fontId="0" fillId="16" borderId="1" xfId="0" applyFill="1" applyBorder="1" applyAlignment="1">
      <alignment horizontal="center" vertical="center"/>
    </xf>
    <xf numFmtId="0" fontId="0" fillId="16" borderId="0" xfId="0" applyFill="1"/>
    <xf numFmtId="0" fontId="0" fillId="16" borderId="0" xfId="0" applyFill="1" applyAlignment="1">
      <alignment horizontal="center" vertical="center"/>
    </xf>
    <xf numFmtId="165" fontId="1" fillId="0" borderId="0" xfId="3" applyNumberFormat="1" applyFont="1"/>
    <xf numFmtId="14" fontId="5" fillId="3" borderId="1" xfId="0" applyNumberFormat="1" applyFont="1" applyFill="1" applyBorder="1" applyAlignment="1">
      <alignment horizontal="center" vertical="center"/>
    </xf>
    <xf numFmtId="0" fontId="4" fillId="4" borderId="1" xfId="0" applyFont="1" applyFill="1" applyBorder="1" applyAlignment="1">
      <alignment horizontal="left" vertical="center" wrapText="1"/>
    </xf>
    <xf numFmtId="0" fontId="16" fillId="0" borderId="0" xfId="0" applyFont="1" applyAlignment="1">
      <alignment horizontal="center" vertical="center"/>
    </xf>
    <xf numFmtId="14" fontId="4" fillId="0" borderId="1" xfId="0" applyNumberFormat="1" applyFont="1" applyBorder="1" applyAlignment="1">
      <alignment horizontal="center" vertical="center"/>
    </xf>
    <xf numFmtId="0" fontId="5" fillId="3" borderId="0" xfId="0" applyFont="1" applyFill="1" applyAlignment="1">
      <alignment horizontal="center" vertical="center"/>
    </xf>
    <xf numFmtId="0" fontId="15" fillId="5" borderId="15" xfId="0" applyFont="1" applyFill="1" applyBorder="1" applyAlignment="1">
      <alignment horizontal="center" vertical="center" wrapText="1"/>
    </xf>
    <xf numFmtId="0" fontId="2" fillId="0" borderId="0" xfId="1" applyAlignment="1">
      <alignment horizontal="center" vertical="center"/>
    </xf>
    <xf numFmtId="1" fontId="1" fillId="0" borderId="0" xfId="0" applyNumberFormat="1" applyFont="1"/>
    <xf numFmtId="1" fontId="16" fillId="0" borderId="0" xfId="0" applyNumberFormat="1" applyFont="1" applyAlignment="1">
      <alignment horizontal="right" vertical="center"/>
    </xf>
    <xf numFmtId="1" fontId="0" fillId="0" borderId="0" xfId="0" applyNumberFormat="1"/>
    <xf numFmtId="1" fontId="0" fillId="0" borderId="0" xfId="0" applyNumberFormat="1" applyAlignment="1">
      <alignment horizontal="left" vertical="center"/>
    </xf>
    <xf numFmtId="0" fontId="21" fillId="0" borderId="1" xfId="0" applyFont="1" applyBorder="1" applyAlignment="1">
      <alignment wrapText="1"/>
    </xf>
    <xf numFmtId="165" fontId="0" fillId="0" borderId="0" xfId="0" applyNumberFormat="1"/>
    <xf numFmtId="0" fontId="1" fillId="12" borderId="0" xfId="0" applyFont="1" applyFill="1"/>
    <xf numFmtId="0" fontId="1" fillId="9" borderId="0" xfId="0" applyFont="1" applyFill="1"/>
    <xf numFmtId="165" fontId="1" fillId="0" borderId="0" xfId="0" applyNumberFormat="1" applyFont="1"/>
    <xf numFmtId="165" fontId="17" fillId="0" borderId="0" xfId="3" applyNumberFormat="1" applyFont="1"/>
    <xf numFmtId="1" fontId="17" fillId="0" borderId="0" xfId="3" applyNumberFormat="1" applyFont="1"/>
    <xf numFmtId="16" fontId="0" fillId="0" borderId="0" xfId="0" applyNumberFormat="1"/>
    <xf numFmtId="0" fontId="0" fillId="14" borderId="0" xfId="0" applyFill="1"/>
    <xf numFmtId="10" fontId="1" fillId="0" borderId="0" xfId="0" applyNumberFormat="1" applyFont="1"/>
    <xf numFmtId="1" fontId="15" fillId="0" borderId="0" xfId="0" applyNumberFormat="1" applyFont="1" applyAlignment="1">
      <alignment horizontal="right" vertical="center"/>
    </xf>
    <xf numFmtId="43" fontId="1" fillId="0" borderId="0" xfId="3" applyFont="1"/>
    <xf numFmtId="43" fontId="16" fillId="0" borderId="0" xfId="3" applyFont="1" applyAlignment="1">
      <alignment horizontal="right" vertical="center"/>
    </xf>
    <xf numFmtId="43" fontId="0" fillId="0" borderId="0" xfId="3" applyFont="1"/>
    <xf numFmtId="165" fontId="0" fillId="0" borderId="0" xfId="3" applyNumberFormat="1" applyFont="1"/>
    <xf numFmtId="1" fontId="0" fillId="0" borderId="0" xfId="3" applyNumberFormat="1" applyFont="1" applyAlignment="1">
      <alignment horizontal="center"/>
    </xf>
    <xf numFmtId="165" fontId="0" fillId="0" borderId="0" xfId="3" applyNumberFormat="1" applyFont="1" applyAlignment="1">
      <alignment horizontal="center"/>
    </xf>
    <xf numFmtId="165" fontId="0" fillId="0" borderId="0" xfId="0" applyNumberFormat="1" applyAlignment="1">
      <alignment horizontal="left" vertical="center"/>
    </xf>
    <xf numFmtId="0" fontId="0" fillId="0" borderId="0" xfId="0" applyAlignment="1">
      <alignment horizontal="center"/>
    </xf>
    <xf numFmtId="0" fontId="0" fillId="0" borderId="1" xfId="0" applyBorder="1" applyAlignment="1">
      <alignment horizontal="center"/>
    </xf>
    <xf numFmtId="0" fontId="10" fillId="2" borderId="18" xfId="0" applyFont="1" applyFill="1" applyBorder="1" applyAlignment="1">
      <alignment horizontal="center" vertical="center"/>
    </xf>
    <xf numFmtId="0" fontId="0" fillId="17" borderId="1" xfId="0" applyFill="1" applyBorder="1" applyAlignment="1">
      <alignment horizontal="center"/>
    </xf>
    <xf numFmtId="0" fontId="24" fillId="18" borderId="16" xfId="0" applyFont="1" applyFill="1" applyBorder="1"/>
    <xf numFmtId="0" fontId="24" fillId="18" borderId="17" xfId="0" applyFont="1" applyFill="1" applyBorder="1"/>
    <xf numFmtId="0" fontId="25" fillId="14" borderId="0" xfId="0" applyFont="1" applyFill="1"/>
    <xf numFmtId="0" fontId="24" fillId="18" borderId="17" xfId="0" applyFont="1" applyFill="1" applyBorder="1" applyAlignment="1">
      <alignment horizontal="center"/>
    </xf>
    <xf numFmtId="0" fontId="25" fillId="14" borderId="0" xfId="0" applyFont="1" applyFill="1" applyAlignment="1">
      <alignment horizontal="center"/>
    </xf>
    <xf numFmtId="1" fontId="0" fillId="0" borderId="1" xfId="0" applyNumberFormat="1" applyBorder="1"/>
    <xf numFmtId="0" fontId="26" fillId="14" borderId="0" xfId="0" applyFont="1" applyFill="1"/>
    <xf numFmtId="0" fontId="24" fillId="18" borderId="16" xfId="0" applyFont="1" applyFill="1" applyBorder="1" applyAlignment="1">
      <alignment horizontal="center" wrapText="1"/>
    </xf>
    <xf numFmtId="0" fontId="10" fillId="2" borderId="19" xfId="0" applyFont="1" applyFill="1" applyBorder="1" applyAlignment="1">
      <alignment horizontal="center" vertical="center"/>
    </xf>
    <xf numFmtId="0" fontId="0" fillId="0" borderId="12" xfId="0" applyBorder="1" applyAlignment="1">
      <alignment horizontal="center"/>
    </xf>
    <xf numFmtId="0" fontId="10" fillId="2" borderId="20" xfId="0" applyFont="1" applyFill="1" applyBorder="1" applyAlignment="1">
      <alignment horizontal="center" vertical="center"/>
    </xf>
    <xf numFmtId="0" fontId="0" fillId="0" borderId="10" xfId="0" applyBorder="1"/>
    <xf numFmtId="0" fontId="10" fillId="2" borderId="1" xfId="0" applyFont="1" applyFill="1" applyBorder="1" applyAlignment="1">
      <alignment horizontal="center" vertical="center" wrapText="1"/>
    </xf>
    <xf numFmtId="165" fontId="26" fillId="14" borderId="0" xfId="3" applyNumberFormat="1" applyFont="1" applyFill="1" applyAlignment="1">
      <alignment horizontal="center"/>
    </xf>
    <xf numFmtId="0" fontId="24" fillId="18" borderId="21" xfId="0" applyFont="1" applyFill="1" applyBorder="1" applyAlignment="1">
      <alignment horizontal="center"/>
    </xf>
    <xf numFmtId="0" fontId="24" fillId="18" borderId="21" xfId="0" applyFont="1" applyFill="1" applyBorder="1"/>
    <xf numFmtId="0" fontId="0" fillId="0" borderId="0" xfId="0" pivotButton="1"/>
    <xf numFmtId="0" fontId="0" fillId="0" borderId="0" xfId="0" applyAlignment="1">
      <alignment horizontal="left"/>
    </xf>
    <xf numFmtId="0" fontId="0" fillId="0" borderId="0" xfId="0" applyAlignment="1">
      <alignment horizontal="center" wrapText="1"/>
    </xf>
    <xf numFmtId="0" fontId="1" fillId="0" borderId="0" xfId="0" applyFont="1" applyAlignment="1">
      <alignment wrapText="1"/>
    </xf>
    <xf numFmtId="0" fontId="1" fillId="0" borderId="0" xfId="0" applyFont="1" applyAlignment="1">
      <alignment horizontal="center" wrapText="1"/>
    </xf>
    <xf numFmtId="1" fontId="0" fillId="19" borderId="0" xfId="0" applyNumberFormat="1" applyFill="1" applyAlignment="1">
      <alignment horizontal="center"/>
    </xf>
    <xf numFmtId="1" fontId="0" fillId="20" borderId="0" xfId="0" applyNumberFormat="1" applyFill="1" applyAlignment="1">
      <alignment horizontal="center"/>
    </xf>
    <xf numFmtId="165" fontId="16" fillId="0" borderId="0" xfId="3" applyNumberFormat="1" applyFont="1" applyAlignment="1">
      <alignment horizontal="right" vertical="center"/>
    </xf>
    <xf numFmtId="43" fontId="19" fillId="0" borderId="0" xfId="3" applyFont="1"/>
    <xf numFmtId="43" fontId="1" fillId="21" borderId="0" xfId="3" applyFont="1" applyFill="1"/>
    <xf numFmtId="0" fontId="2" fillId="4" borderId="0" xfId="1" applyFill="1"/>
    <xf numFmtId="0" fontId="15" fillId="0" borderId="0" xfId="0" applyFont="1" applyAlignment="1">
      <alignment horizontal="right" vertical="center"/>
    </xf>
    <xf numFmtId="0" fontId="0" fillId="7" borderId="0" xfId="0" applyFill="1"/>
    <xf numFmtId="1" fontId="5" fillId="0" borderId="0" xfId="0" applyNumberFormat="1" applyFont="1"/>
    <xf numFmtId="0" fontId="2" fillId="22" borderId="0" xfId="1" applyFill="1"/>
    <xf numFmtId="0" fontId="2" fillId="23" borderId="0" xfId="1" applyFill="1"/>
    <xf numFmtId="0" fontId="0" fillId="24" borderId="1" xfId="0" applyFill="1" applyBorder="1" applyAlignment="1">
      <alignment horizontal="center" vertical="center"/>
    </xf>
    <xf numFmtId="0" fontId="0" fillId="25" borderId="1" xfId="0" applyFill="1" applyBorder="1" applyAlignment="1">
      <alignment horizontal="left"/>
    </xf>
    <xf numFmtId="0" fontId="0" fillId="26" borderId="0" xfId="0" applyFill="1"/>
    <xf numFmtId="1" fontId="17" fillId="26" borderId="0" xfId="3" applyNumberFormat="1" applyFont="1" applyFill="1"/>
    <xf numFmtId="0" fontId="0" fillId="25" borderId="1" xfId="0" applyFill="1" applyBorder="1" applyAlignment="1">
      <alignment horizontal="center"/>
    </xf>
    <xf numFmtId="165" fontId="10" fillId="0" borderId="0" xfId="0" applyNumberFormat="1" applyFont="1"/>
    <xf numFmtId="0" fontId="0" fillId="2" borderId="0" xfId="0" applyFill="1"/>
    <xf numFmtId="1" fontId="0" fillId="2" borderId="0" xfId="0" applyNumberFormat="1" applyFill="1"/>
    <xf numFmtId="165" fontId="10" fillId="3" borderId="0" xfId="3" applyNumberFormat="1" applyFont="1" applyFill="1"/>
    <xf numFmtId="9" fontId="1" fillId="0" borderId="0" xfId="2" applyFont="1"/>
    <xf numFmtId="167" fontId="0" fillId="0" borderId="0" xfId="0" applyNumberFormat="1"/>
    <xf numFmtId="9" fontId="0" fillId="0" borderId="0" xfId="2" applyFont="1"/>
    <xf numFmtId="0" fontId="0" fillId="0" borderId="0" xfId="0" applyAlignment="1">
      <alignment horizontal="left" indent="1"/>
    </xf>
    <xf numFmtId="0" fontId="0" fillId="3" borderId="0" xfId="0" applyFill="1" applyAlignment="1">
      <alignment wrapText="1"/>
    </xf>
    <xf numFmtId="43" fontId="0" fillId="0" borderId="0" xfId="0" applyNumberFormat="1"/>
    <xf numFmtId="0" fontId="0" fillId="24" borderId="23" xfId="0" applyFill="1" applyBorder="1" applyAlignment="1">
      <alignment horizontal="center" wrapText="1"/>
    </xf>
    <xf numFmtId="0" fontId="0" fillId="8" borderId="23" xfId="0" applyFill="1" applyBorder="1" applyAlignment="1">
      <alignment horizontal="center" wrapText="1"/>
    </xf>
    <xf numFmtId="0" fontId="1" fillId="17" borderId="22" xfId="0" applyFont="1" applyFill="1" applyBorder="1" applyAlignment="1">
      <alignment horizontal="center"/>
    </xf>
    <xf numFmtId="0" fontId="6" fillId="0" borderId="1" xfId="0" applyFont="1" applyBorder="1" applyAlignment="1">
      <alignment horizontal="center"/>
    </xf>
    <xf numFmtId="0" fontId="6" fillId="0" borderId="12" xfId="0" applyFont="1" applyBorder="1" applyAlignment="1">
      <alignment horizontal="center"/>
    </xf>
    <xf numFmtId="0" fontId="6" fillId="0" borderId="1" xfId="0" applyFont="1" applyBorder="1" applyAlignment="1">
      <alignment wrapText="1"/>
    </xf>
    <xf numFmtId="0" fontId="6" fillId="0" borderId="10" xfId="0" applyFont="1" applyBorder="1"/>
    <xf numFmtId="0" fontId="0" fillId="10" borderId="23" xfId="0" applyFill="1" applyBorder="1" applyAlignment="1">
      <alignment horizontal="center" wrapText="1"/>
    </xf>
    <xf numFmtId="168" fontId="0" fillId="0" borderId="0" xfId="0" applyNumberFormat="1"/>
    <xf numFmtId="165" fontId="1" fillId="27" borderId="0" xfId="3" applyNumberFormat="1" applyFont="1" applyFill="1"/>
    <xf numFmtId="165" fontId="0" fillId="27" borderId="0" xfId="0" applyNumberFormat="1" applyFill="1"/>
    <xf numFmtId="0" fontId="26" fillId="27" borderId="0" xfId="0" applyFont="1" applyFill="1"/>
    <xf numFmtId="0" fontId="1" fillId="27" borderId="0" xfId="0" applyFont="1" applyFill="1"/>
    <xf numFmtId="168" fontId="1" fillId="27" borderId="0" xfId="0" applyNumberFormat="1" applyFont="1" applyFill="1"/>
    <xf numFmtId="0" fontId="0" fillId="25" borderId="23" xfId="0" applyFill="1" applyBorder="1" applyAlignment="1">
      <alignment horizontal="center" wrapText="1"/>
    </xf>
    <xf numFmtId="0" fontId="28" fillId="25" borderId="0" xfId="0" applyFont="1" applyFill="1" applyAlignment="1">
      <alignment horizontal="center"/>
    </xf>
    <xf numFmtId="0" fontId="0" fillId="12" borderId="0" xfId="0" applyFill="1"/>
    <xf numFmtId="0" fontId="0" fillId="10" borderId="0" xfId="0" applyFill="1"/>
    <xf numFmtId="0" fontId="0" fillId="8" borderId="0" xfId="0" applyFill="1"/>
    <xf numFmtId="0" fontId="0" fillId="11" borderId="0" xfId="0" applyFill="1"/>
    <xf numFmtId="0" fontId="0" fillId="12" borderId="0" xfId="0" applyFill="1" applyAlignment="1">
      <alignment wrapText="1"/>
    </xf>
    <xf numFmtId="0" fontId="0" fillId="10" borderId="0" xfId="0" applyFill="1" applyAlignment="1">
      <alignment wrapText="1"/>
    </xf>
    <xf numFmtId="0" fontId="0" fillId="8" borderId="0" xfId="0" applyFill="1" applyAlignment="1">
      <alignment wrapText="1"/>
    </xf>
    <xf numFmtId="0" fontId="0" fillId="11" borderId="0" xfId="0" applyFill="1" applyAlignment="1">
      <alignment wrapText="1"/>
    </xf>
    <xf numFmtId="0" fontId="0" fillId="0" borderId="0" xfId="0" applyAlignment="1">
      <alignment horizontal="left" wrapText="1"/>
    </xf>
    <xf numFmtId="0" fontId="1" fillId="0" borderId="0" xfId="0" applyFont="1" applyAlignment="1">
      <alignment horizontal="left" wrapText="1"/>
    </xf>
    <xf numFmtId="0" fontId="0" fillId="3" borderId="0" xfId="0" applyFill="1" applyAlignment="1">
      <alignment horizontal="left" wrapText="1"/>
    </xf>
    <xf numFmtId="0" fontId="16" fillId="0" borderId="3" xfId="0" applyFont="1" applyBorder="1" applyAlignment="1">
      <alignment horizontal="left" vertical="center" wrapText="1"/>
    </xf>
    <xf numFmtId="0" fontId="16" fillId="0" borderId="2" xfId="0" applyFont="1" applyBorder="1" applyAlignment="1">
      <alignment horizontal="left" vertical="center" wrapText="1"/>
    </xf>
    <xf numFmtId="0" fontId="16" fillId="0" borderId="9" xfId="0" applyFont="1" applyBorder="1" applyAlignment="1">
      <alignment horizontal="left" vertical="center" wrapText="1"/>
    </xf>
    <xf numFmtId="14" fontId="5" fillId="4" borderId="3" xfId="0" applyNumberFormat="1" applyFont="1" applyFill="1" applyBorder="1" applyAlignment="1">
      <alignment horizontal="center" vertical="center" wrapText="1"/>
    </xf>
    <xf numFmtId="14" fontId="5" fillId="4" borderId="2" xfId="0" applyNumberFormat="1" applyFont="1" applyFill="1" applyBorder="1" applyAlignment="1">
      <alignment horizontal="center" vertical="center" wrapText="1"/>
    </xf>
    <xf numFmtId="14" fontId="5" fillId="4" borderId="9" xfId="0" applyNumberFormat="1" applyFont="1" applyFill="1" applyBorder="1" applyAlignment="1">
      <alignment horizontal="center" vertical="center" wrapText="1"/>
    </xf>
    <xf numFmtId="0" fontId="5" fillId="4" borderId="3" xfId="0" applyFont="1" applyFill="1" applyBorder="1" applyAlignment="1">
      <alignment horizontal="center" vertical="center"/>
    </xf>
    <xf numFmtId="0" fontId="5" fillId="4" borderId="2" xfId="0" applyFont="1" applyFill="1" applyBorder="1" applyAlignment="1">
      <alignment horizontal="center" vertical="center"/>
    </xf>
    <xf numFmtId="0" fontId="5" fillId="4" borderId="9" xfId="0" applyFont="1" applyFill="1" applyBorder="1" applyAlignment="1">
      <alignment horizontal="center" vertical="center"/>
    </xf>
    <xf numFmtId="164" fontId="5" fillId="4" borderId="1" xfId="2" applyNumberFormat="1" applyFont="1" applyFill="1" applyBorder="1" applyAlignment="1">
      <alignment horizontal="center" vertical="center" wrapText="1"/>
    </xf>
    <xf numFmtId="0" fontId="0" fillId="0" borderId="1" xfId="0" applyBorder="1" applyAlignment="1">
      <alignment horizontal="center" vertical="center"/>
    </xf>
    <xf numFmtId="0" fontId="5" fillId="4" borderId="1" xfId="0" applyFont="1" applyFill="1" applyBorder="1" applyAlignment="1">
      <alignment horizontal="center" vertical="center"/>
    </xf>
    <xf numFmtId="0" fontId="5" fillId="0" borderId="3" xfId="0" applyFont="1" applyBorder="1" applyAlignment="1">
      <alignment horizontal="center" vertical="center"/>
    </xf>
    <xf numFmtId="0" fontId="5" fillId="0" borderId="2" xfId="0" applyFont="1" applyBorder="1" applyAlignment="1">
      <alignment horizontal="center" vertical="center"/>
    </xf>
    <xf numFmtId="0" fontId="5" fillId="0" borderId="9" xfId="0" applyFont="1"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9" xfId="0" applyBorder="1" applyAlignment="1">
      <alignment horizontal="center" vertical="center"/>
    </xf>
    <xf numFmtId="0" fontId="5" fillId="4" borderId="1" xfId="0" applyFont="1" applyFill="1" applyBorder="1" applyAlignment="1">
      <alignment horizontal="center" vertical="center" wrapText="1"/>
    </xf>
    <xf numFmtId="14" fontId="5" fillId="0" borderId="1" xfId="0" applyNumberFormat="1" applyFont="1" applyBorder="1" applyAlignment="1">
      <alignment horizontal="center" vertical="center"/>
    </xf>
    <xf numFmtId="14" fontId="7" fillId="0" borderId="1" xfId="0" applyNumberFormat="1" applyFont="1" applyBorder="1" applyAlignment="1">
      <alignment horizontal="center" vertical="center"/>
    </xf>
    <xf numFmtId="14" fontId="5" fillId="4" borderId="1" xfId="0" applyNumberFormat="1" applyFont="1" applyFill="1" applyBorder="1" applyAlignment="1">
      <alignment horizontal="left"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16" fillId="0" borderId="1" xfId="0" applyFont="1" applyBorder="1" applyAlignment="1">
      <alignment horizontal="left" wrapText="1"/>
    </xf>
    <xf numFmtId="0" fontId="0" fillId="0" borderId="1" xfId="0" applyBorder="1" applyAlignment="1">
      <alignment horizontal="center" vertical="center" wrapText="1"/>
    </xf>
    <xf numFmtId="0" fontId="5" fillId="0" borderId="1" xfId="0" applyFont="1" applyBorder="1" applyAlignment="1">
      <alignment horizontal="center" vertical="center" wrapText="1"/>
    </xf>
    <xf numFmtId="0" fontId="7" fillId="0" borderId="1" xfId="0" applyFont="1" applyBorder="1" applyAlignment="1">
      <alignment horizontal="center" vertical="center"/>
    </xf>
    <xf numFmtId="0" fontId="7" fillId="0" borderId="1" xfId="0" applyFont="1" applyBorder="1" applyAlignment="1">
      <alignment horizontal="left" vertical="center" wrapText="1"/>
    </xf>
    <xf numFmtId="14" fontId="5" fillId="0" borderId="1" xfId="0" applyNumberFormat="1" applyFont="1" applyBorder="1" applyAlignment="1">
      <alignment horizontal="left" vertical="center"/>
    </xf>
    <xf numFmtId="1" fontId="0" fillId="19" borderId="0" xfId="0" applyNumberFormat="1" applyFill="1" applyAlignment="1">
      <alignment horizontal="center"/>
    </xf>
    <xf numFmtId="0" fontId="0" fillId="10" borderId="0" xfId="0" applyFill="1" applyAlignment="1">
      <alignment horizontal="center"/>
    </xf>
    <xf numFmtId="0" fontId="0" fillId="8" borderId="0" xfId="0" applyFill="1" applyAlignment="1">
      <alignment horizontal="center"/>
    </xf>
    <xf numFmtId="0" fontId="0" fillId="12" borderId="0" xfId="0" applyFill="1" applyAlignment="1">
      <alignment horizontal="center"/>
    </xf>
    <xf numFmtId="0" fontId="0" fillId="0" borderId="0" xfId="0" applyAlignment="1">
      <alignment horizontal="center"/>
    </xf>
    <xf numFmtId="0" fontId="0" fillId="0" borderId="0" xfId="0" applyAlignment="1">
      <alignment horizontal="center" wrapText="1"/>
    </xf>
    <xf numFmtId="0" fontId="0" fillId="12" borderId="0" xfId="0" applyFill="1" applyAlignment="1">
      <alignment horizontal="center" wrapText="1"/>
    </xf>
    <xf numFmtId="0" fontId="0" fillId="10" borderId="0" xfId="0" applyFill="1" applyAlignment="1">
      <alignment horizontal="center" wrapText="1"/>
    </xf>
    <xf numFmtId="0" fontId="0" fillId="8" borderId="0" xfId="0" applyFill="1" applyAlignment="1">
      <alignment horizontal="center" wrapText="1"/>
    </xf>
    <xf numFmtId="0" fontId="0" fillId="11" borderId="0" xfId="0" applyFill="1" applyAlignment="1">
      <alignment horizontal="center" wrapText="1"/>
    </xf>
    <xf numFmtId="0" fontId="27" fillId="0" borderId="0" xfId="0" applyFont="1" applyAlignment="1">
      <alignment horizontal="center" wrapText="1"/>
    </xf>
    <xf numFmtId="0" fontId="0" fillId="0" borderId="0" xfId="0" applyNumberFormat="1"/>
  </cellXfs>
  <cellStyles count="5">
    <cellStyle name="Comma" xfId="3" builtinId="3"/>
    <cellStyle name="Hyperlink" xfId="1" builtinId="8"/>
    <cellStyle name="Migliaia 3" xfId="4" xr:uid="{D0B3CEAD-B1E7-438C-83DC-25B6CBE0169A}"/>
    <cellStyle name="Normal" xfId="0" builtinId="0"/>
    <cellStyle name="Percent" xfId="2" builtinId="5"/>
  </cellStyles>
  <dxfs count="51">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35" formatCode="_-* #,##0.00_-;\-* #,##0.00_-;_-* &quot;-&quot;??_-;_-@_-"/>
    </dxf>
    <dxf>
      <numFmt numFmtId="165" formatCode="_-* #,##0_-;\-* #,##0_-;_-* &quot;-&quot;??_-;_-@_-"/>
    </dxf>
    <dxf>
      <numFmt numFmtId="165" formatCode="_-* #,##0_-;\-* #,##0_-;_-* &quot;-&quot;??_-;_-@_-"/>
    </dxf>
    <dxf>
      <numFmt numFmtId="165" formatCode="_-* #,##0_-;\-* #,##0_-;_-* &quot;-&quot;??_-;_-@_-"/>
    </dxf>
    <dxf>
      <numFmt numFmtId="35" formatCode="_-* #,##0.00_-;\-* #,##0.0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35" formatCode="_-* #,##0.00_-;\-* #,##0.00_-;_-* &quot;-&quot;??_-;_-@_-"/>
    </dxf>
    <dxf>
      <numFmt numFmtId="165" formatCode="_-* #,##0_-;\-* #,##0_-;_-* &quot;-&quot;??_-;_-@_-"/>
    </dxf>
    <dxf>
      <numFmt numFmtId="165" formatCode="_-* #,##0_-;\-* #,##0_-;_-* &quot;-&quot;??_-;_-@_-"/>
    </dxf>
    <dxf>
      <numFmt numFmtId="165" formatCode="_-* #,##0_-;\-* #,##0_-;_-* &quot;-&quot;??_-;_-@_-"/>
    </dxf>
    <dxf>
      <numFmt numFmtId="35" formatCode="_-* #,##0.00_-;\-* #,##0.00_-;_-* &quot;-&quot;??_-;_-@_-"/>
    </dxf>
    <dxf>
      <font>
        <color rgb="FF006100"/>
      </font>
      <fill>
        <patternFill>
          <bgColor rgb="FFC6EFCE"/>
        </patternFill>
      </fill>
    </dxf>
    <dxf>
      <font>
        <color rgb="FF9C0006"/>
      </font>
      <fill>
        <patternFill>
          <bgColor rgb="FFFFC7CE"/>
        </patternFill>
      </fill>
    </dxf>
    <dxf>
      <numFmt numFmtId="165" formatCode="_-* #,##0_-;\-* #,##0_-;_-* &quot;-&quot;??_-;_-@_-"/>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indent="0" justifyLastLine="0" shrinkToFit="0" readingOrder="0"/>
    </dxf>
    <dxf>
      <numFmt numFmtId="1" formatCode="0"/>
    </dxf>
    <dxf>
      <numFmt numFmtId="165" formatCode="_-* #,##0_-;\-* #,##0_-;_-* &quot;-&quot;??_-;_-@_-"/>
    </dxf>
    <dxf>
      <numFmt numFmtId="35" formatCode="_-* #,##0.00_-;\-* #,##0.00_-;_-* &quot;-&quot;??_-;_-@_-"/>
    </dxf>
    <dxf>
      <numFmt numFmtId="165" formatCode="_-* #,##0_-;\-* #,##0_-;_-* &quot;-&quot;??_-;_-@_-"/>
    </dxf>
    <dxf>
      <numFmt numFmtId="165" formatCode="_-* #,##0_-;\-* #,##0_-;_-* &quot;-&quot;??_-;_-@_-"/>
    </dxf>
    <dxf>
      <numFmt numFmtId="165" formatCode="_-* #,##0_-;\-* #,##0_-;_-* &quot;-&quot;??_-;_-@_-"/>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theme="0" tint="-0.499984740745262"/>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theme="0" tint="-0.499984740745262"/>
      </font>
      <fill>
        <patternFill>
          <fgColor theme="0" tint="-0.14993743705557422"/>
          <bgColor theme="0" tint="-0.1499679555650502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externalLink" Target="externalLinks/externalLink7.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styles" Target="style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Staffing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Plan!#REF!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Plan!#REF!</c15:sqref>
                        </c15:formulaRef>
                      </c:ext>
                    </c:extLst>
                  </c:multiLvlStrRef>
                </c15:cat>
              </c15:filteredCategoryTitle>
            </c:ext>
            <c:ext xmlns:c16="http://schemas.microsoft.com/office/drawing/2014/chart" uri="{C3380CC4-5D6E-409C-BE32-E72D297353CC}">
              <c16:uniqueId val="{00000000-ADC8-423F-98D3-DCFB836D6A5B}"/>
            </c:ext>
          </c:extLst>
        </c:ser>
        <c:dLbls>
          <c:showLegendKey val="0"/>
          <c:showVal val="0"/>
          <c:showCatName val="0"/>
          <c:showSerName val="0"/>
          <c:showPercent val="0"/>
          <c:showBubbleSize val="0"/>
        </c:dLbls>
        <c:gapWidth val="219"/>
        <c:overlap val="-27"/>
        <c:axId val="1930200127"/>
        <c:axId val="97250991"/>
      </c:barChart>
      <c:catAx>
        <c:axId val="193020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50991"/>
        <c:crosses val="autoZero"/>
        <c:auto val="1"/>
        <c:lblAlgn val="ctr"/>
        <c:lblOffset val="100"/>
        <c:noMultiLvlLbl val="0"/>
      </c:catAx>
      <c:valAx>
        <c:axId val="97250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02001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316</xdr:row>
      <xdr:rowOff>0</xdr:rowOff>
    </xdr:from>
    <xdr:to>
      <xdr:col>15</xdr:col>
      <xdr:colOff>258763</xdr:colOff>
      <xdr:row>337</xdr:row>
      <xdr:rowOff>63105</xdr:rowOff>
    </xdr:to>
    <xdr:graphicFrame macro="">
      <xdr:nvGraphicFramePr>
        <xdr:cNvPr id="2" name="Chart 1">
          <a:extLst>
            <a:ext uri="{FF2B5EF4-FFF2-40B4-BE49-F238E27FC236}">
              <a16:creationId xmlns:a16="http://schemas.microsoft.com/office/drawing/2014/main" id="{F4DE344E-67BA-4DF1-BD54-A94CD53878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35</xdr:col>
      <xdr:colOff>0</xdr:colOff>
      <xdr:row>0</xdr:row>
      <xdr:rowOff>409575</xdr:rowOff>
    </xdr:from>
    <xdr:to>
      <xdr:col>35</xdr:col>
      <xdr:colOff>15875</xdr:colOff>
      <xdr:row>113</xdr:row>
      <xdr:rowOff>63500</xdr:rowOff>
    </xdr:to>
    <xdr:cxnSp macro="">
      <xdr:nvCxnSpPr>
        <xdr:cNvPr id="2" name="Straight Connector 4">
          <a:extLst>
            <a:ext uri="{FF2B5EF4-FFF2-40B4-BE49-F238E27FC236}">
              <a16:creationId xmlns:a16="http://schemas.microsoft.com/office/drawing/2014/main" id="{13C1387A-47FC-4931-9B5C-AB44A650260F}"/>
            </a:ext>
          </a:extLst>
        </xdr:cNvPr>
        <xdr:cNvCxnSpPr/>
      </xdr:nvCxnSpPr>
      <xdr:spPr>
        <a:xfrm>
          <a:off x="32966025" y="406400"/>
          <a:ext cx="15875" cy="14900275"/>
        </a:xfrm>
        <a:prstGeom prst="line">
          <a:avLst/>
        </a:prstGeom>
        <a:ln w="571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43</xdr:col>
      <xdr:colOff>0</xdr:colOff>
      <xdr:row>1</xdr:row>
      <xdr:rowOff>0</xdr:rowOff>
    </xdr:from>
    <xdr:to>
      <xdr:col>43</xdr:col>
      <xdr:colOff>25400</xdr:colOff>
      <xdr:row>113</xdr:row>
      <xdr:rowOff>76200</xdr:rowOff>
    </xdr:to>
    <xdr:cxnSp macro="">
      <xdr:nvCxnSpPr>
        <xdr:cNvPr id="3" name="Straight Connector 4">
          <a:extLst>
            <a:ext uri="{FF2B5EF4-FFF2-40B4-BE49-F238E27FC236}">
              <a16:creationId xmlns:a16="http://schemas.microsoft.com/office/drawing/2014/main" id="{D1BD5D4C-D069-4E48-9546-530AA708AE41}"/>
            </a:ext>
          </a:extLst>
        </xdr:cNvPr>
        <xdr:cNvCxnSpPr/>
      </xdr:nvCxnSpPr>
      <xdr:spPr>
        <a:xfrm>
          <a:off x="40538400" y="428625"/>
          <a:ext cx="28575" cy="14887575"/>
        </a:xfrm>
        <a:prstGeom prst="line">
          <a:avLst/>
        </a:prstGeom>
        <a:ln w="571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28</xdr:col>
      <xdr:colOff>607484</xdr:colOff>
      <xdr:row>16</xdr:row>
      <xdr:rowOff>56092</xdr:rowOff>
    </xdr:from>
    <xdr:to>
      <xdr:col>29</xdr:col>
      <xdr:colOff>370747</xdr:colOff>
      <xdr:row>16</xdr:row>
      <xdr:rowOff>218931</xdr:rowOff>
    </xdr:to>
    <xdr:sp macro="" textlink="">
      <xdr:nvSpPr>
        <xdr:cNvPr id="4" name="Diamond 3">
          <a:extLst>
            <a:ext uri="{FF2B5EF4-FFF2-40B4-BE49-F238E27FC236}">
              <a16:creationId xmlns:a16="http://schemas.microsoft.com/office/drawing/2014/main" id="{C4633543-5D00-4BD9-9C0C-6A82D34423F1}"/>
            </a:ext>
          </a:extLst>
        </xdr:cNvPr>
        <xdr:cNvSpPr/>
      </xdr:nvSpPr>
      <xdr:spPr>
        <a:xfrm>
          <a:off x="26496434" y="3323167"/>
          <a:ext cx="804663" cy="166014"/>
        </a:xfrm>
        <a:prstGeom prst="diamond">
          <a:avLst/>
        </a:prstGeom>
        <a:solidFill>
          <a:schemeClr val="accent2"/>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l"/>
          <a:r>
            <a:rPr lang="en-US" sz="1100">
              <a:solidFill>
                <a:sysClr val="windowText" lastClr="000000"/>
              </a:solidFill>
            </a:rPr>
            <a:t>     Product Release#1 Alpha</a:t>
          </a:r>
          <a:endParaRPr lang="en-DK" sz="1100">
            <a:solidFill>
              <a:sysClr val="windowText" lastClr="000000"/>
            </a:solidFill>
          </a:endParaRPr>
        </a:p>
      </xdr:txBody>
    </xdr:sp>
    <xdr:clientData/>
  </xdr:twoCellAnchor>
  <xdr:twoCellAnchor>
    <xdr:from>
      <xdr:col>31</xdr:col>
      <xdr:colOff>635000</xdr:colOff>
      <xdr:row>25</xdr:row>
      <xdr:rowOff>8468</xdr:rowOff>
    </xdr:from>
    <xdr:to>
      <xdr:col>32</xdr:col>
      <xdr:colOff>395088</xdr:colOff>
      <xdr:row>25</xdr:row>
      <xdr:rowOff>142732</xdr:rowOff>
    </xdr:to>
    <xdr:sp macro="" textlink="">
      <xdr:nvSpPr>
        <xdr:cNvPr id="5" name="Diamond 4">
          <a:extLst>
            <a:ext uri="{FF2B5EF4-FFF2-40B4-BE49-F238E27FC236}">
              <a16:creationId xmlns:a16="http://schemas.microsoft.com/office/drawing/2014/main" id="{6500A893-E85A-442D-A89B-BFB5A4F17BBE}"/>
            </a:ext>
          </a:extLst>
        </xdr:cNvPr>
        <xdr:cNvSpPr/>
      </xdr:nvSpPr>
      <xdr:spPr>
        <a:xfrm>
          <a:off x="29603700" y="4888443"/>
          <a:ext cx="772913" cy="134264"/>
        </a:xfrm>
        <a:prstGeom prst="diamond">
          <a:avLst/>
        </a:prstGeom>
        <a:solidFill>
          <a:schemeClr val="accent2"/>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l"/>
          <a:r>
            <a:rPr lang="en-US" sz="1100">
              <a:solidFill>
                <a:sysClr val="windowText" lastClr="000000"/>
              </a:solidFill>
            </a:rPr>
            <a:t>     Product Release#2 RC</a:t>
          </a:r>
          <a:endParaRPr lang="en-DK" sz="1100">
            <a:solidFill>
              <a:sysClr val="windowText" lastClr="000000"/>
            </a:solidFill>
          </a:endParaRPr>
        </a:p>
      </xdr:txBody>
    </xdr:sp>
    <xdr:clientData/>
  </xdr:twoCellAnchor>
  <xdr:twoCellAnchor>
    <xdr:from>
      <xdr:col>42</xdr:col>
      <xdr:colOff>589084</xdr:colOff>
      <xdr:row>71</xdr:row>
      <xdr:rowOff>138967</xdr:rowOff>
    </xdr:from>
    <xdr:to>
      <xdr:col>43</xdr:col>
      <xdr:colOff>317191</xdr:colOff>
      <xdr:row>74</xdr:row>
      <xdr:rowOff>123804</xdr:rowOff>
    </xdr:to>
    <xdr:sp macro="" textlink="">
      <xdr:nvSpPr>
        <xdr:cNvPr id="6" name="Diamond 5">
          <a:extLst>
            <a:ext uri="{FF2B5EF4-FFF2-40B4-BE49-F238E27FC236}">
              <a16:creationId xmlns:a16="http://schemas.microsoft.com/office/drawing/2014/main" id="{10B3DA2D-3ED5-4176-9D84-17F5B3D45C8A}"/>
            </a:ext>
          </a:extLst>
        </xdr:cNvPr>
        <xdr:cNvSpPr/>
      </xdr:nvSpPr>
      <xdr:spPr>
        <a:xfrm>
          <a:off x="40213084" y="10810142"/>
          <a:ext cx="639332" cy="346787"/>
        </a:xfrm>
        <a:prstGeom prst="diamond">
          <a:avLst/>
        </a:prstGeom>
        <a:solidFill>
          <a:schemeClr val="accent2"/>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l"/>
          <a:r>
            <a:rPr lang="en-US" sz="1100">
              <a:solidFill>
                <a:sysClr val="windowText" lastClr="000000"/>
              </a:solidFill>
            </a:rPr>
            <a:t>     STEP2 Release 2</a:t>
          </a:r>
          <a:endParaRPr lang="en-DK" sz="1100">
            <a:solidFill>
              <a:sysClr val="windowText" lastClr="000000"/>
            </a:solidFill>
          </a:endParaRPr>
        </a:p>
      </xdr:txBody>
    </xdr:sp>
    <xdr:clientData/>
  </xdr:twoCellAnchor>
  <xdr:twoCellAnchor>
    <xdr:from>
      <xdr:col>39</xdr:col>
      <xdr:colOff>622301</xdr:colOff>
      <xdr:row>73</xdr:row>
      <xdr:rowOff>31750</xdr:rowOff>
    </xdr:from>
    <xdr:to>
      <xdr:col>40</xdr:col>
      <xdr:colOff>340882</xdr:colOff>
      <xdr:row>75</xdr:row>
      <xdr:rowOff>5108</xdr:rowOff>
    </xdr:to>
    <xdr:sp macro="" textlink="">
      <xdr:nvSpPr>
        <xdr:cNvPr id="7" name="Diamond 6">
          <a:extLst>
            <a:ext uri="{FF2B5EF4-FFF2-40B4-BE49-F238E27FC236}">
              <a16:creationId xmlns:a16="http://schemas.microsoft.com/office/drawing/2014/main" id="{35C4D029-923F-4396-BEC0-30F8C263B691}"/>
            </a:ext>
          </a:extLst>
        </xdr:cNvPr>
        <xdr:cNvSpPr/>
      </xdr:nvSpPr>
      <xdr:spPr>
        <a:xfrm>
          <a:off x="37414201" y="10877550"/>
          <a:ext cx="664731" cy="341658"/>
        </a:xfrm>
        <a:prstGeom prst="diamond">
          <a:avLst/>
        </a:prstGeom>
        <a:solidFill>
          <a:schemeClr val="accent2"/>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l"/>
          <a:r>
            <a:rPr lang="en-US" sz="1100">
              <a:solidFill>
                <a:sysClr val="windowText" lastClr="000000"/>
              </a:solidFill>
            </a:rPr>
            <a:t>     STEP2 Release 1</a:t>
          </a:r>
          <a:endParaRPr lang="en-DK" sz="1100">
            <a:solidFill>
              <a:sysClr val="windowText" lastClr="000000"/>
            </a:solidFill>
          </a:endParaRPr>
        </a:p>
      </xdr:txBody>
    </xdr:sp>
    <xdr:clientData/>
  </xdr:twoCellAnchor>
  <xdr:twoCellAnchor>
    <xdr:from>
      <xdr:col>34</xdr:col>
      <xdr:colOff>608541</xdr:colOff>
      <xdr:row>41</xdr:row>
      <xdr:rowOff>21167</xdr:rowOff>
    </xdr:from>
    <xdr:to>
      <xdr:col>35</xdr:col>
      <xdr:colOff>371804</xdr:colOff>
      <xdr:row>41</xdr:row>
      <xdr:rowOff>155431</xdr:rowOff>
    </xdr:to>
    <xdr:sp macro="" textlink="">
      <xdr:nvSpPr>
        <xdr:cNvPr id="8" name="Diamond 7">
          <a:extLst>
            <a:ext uri="{FF2B5EF4-FFF2-40B4-BE49-F238E27FC236}">
              <a16:creationId xmlns:a16="http://schemas.microsoft.com/office/drawing/2014/main" id="{D50F3F4D-7993-4A58-AED4-20300801A765}"/>
            </a:ext>
          </a:extLst>
        </xdr:cNvPr>
        <xdr:cNvSpPr/>
      </xdr:nvSpPr>
      <xdr:spPr>
        <a:xfrm>
          <a:off x="32631591" y="7536392"/>
          <a:ext cx="703063" cy="134264"/>
        </a:xfrm>
        <a:prstGeom prst="diamond">
          <a:avLst/>
        </a:prstGeom>
        <a:solidFill>
          <a:schemeClr val="accent2"/>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l"/>
          <a:r>
            <a:rPr lang="en-US" sz="1100">
              <a:solidFill>
                <a:sysClr val="windowText" lastClr="000000"/>
              </a:solidFill>
            </a:rPr>
            <a:t>     Product Release#3 RC</a:t>
          </a:r>
          <a:endParaRPr lang="en-DK"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38100</xdr:colOff>
      <xdr:row>7</xdr:row>
      <xdr:rowOff>0</xdr:rowOff>
    </xdr:from>
    <xdr:to>
      <xdr:col>29</xdr:col>
      <xdr:colOff>47999</xdr:colOff>
      <xdr:row>35</xdr:row>
      <xdr:rowOff>56402</xdr:rowOff>
    </xdr:to>
    <xdr:cxnSp macro="">
      <xdr:nvCxnSpPr>
        <xdr:cNvPr id="3" name="Straight Connector 4">
          <a:extLst>
            <a:ext uri="{FF2B5EF4-FFF2-40B4-BE49-F238E27FC236}">
              <a16:creationId xmlns:a16="http://schemas.microsoft.com/office/drawing/2014/main" id="{00000000-0008-0000-0900-000003000000}"/>
            </a:ext>
          </a:extLst>
        </xdr:cNvPr>
        <xdr:cNvCxnSpPr/>
      </xdr:nvCxnSpPr>
      <xdr:spPr>
        <a:xfrm>
          <a:off x="20485100" y="1143000"/>
          <a:ext cx="9899" cy="5390402"/>
        </a:xfrm>
        <a:prstGeom prst="line">
          <a:avLst/>
        </a:prstGeom>
        <a:ln w="571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39</xdr:col>
      <xdr:colOff>408037</xdr:colOff>
      <xdr:row>3</xdr:row>
      <xdr:rowOff>159038</xdr:rowOff>
    </xdr:from>
    <xdr:to>
      <xdr:col>40</xdr:col>
      <xdr:colOff>17145</xdr:colOff>
      <xdr:row>94</xdr:row>
      <xdr:rowOff>155864</xdr:rowOff>
    </xdr:to>
    <xdr:cxnSp macro="">
      <xdr:nvCxnSpPr>
        <xdr:cNvPr id="4" name="Straight Connector 4">
          <a:extLst>
            <a:ext uri="{FF2B5EF4-FFF2-40B4-BE49-F238E27FC236}">
              <a16:creationId xmlns:a16="http://schemas.microsoft.com/office/drawing/2014/main" id="{00000000-0008-0000-0900-000004000000}"/>
            </a:ext>
          </a:extLst>
        </xdr:cNvPr>
        <xdr:cNvCxnSpPr/>
      </xdr:nvCxnSpPr>
      <xdr:spPr>
        <a:xfrm>
          <a:off x="18696037" y="505402"/>
          <a:ext cx="59381" cy="9746962"/>
        </a:xfrm>
        <a:prstGeom prst="line">
          <a:avLst/>
        </a:prstGeom>
        <a:ln w="571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blq10261.dom2.ad.sys\Users\lprezios\AppData\Local\Microsoft\Windows\Temporary%20Internet%20Files\Content.Outlook\FAR83FLL\RM_Nodo_di_Roma_SCCM_rev.A.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lstomgroup.sharepoint.com/sites/TMSProgram/Shared%20Documents/General/09%20-%20Project/NTL/Plan%20B%20Estimation/PlanB%20impact%20analysis_rev15.xlsx" TargetMode="External"/><Relationship Id="rId1" Type="http://schemas.openxmlformats.org/officeDocument/2006/relationships/externalLinkPath" Target="https://alstomgroup.sharepoint.com/sites/TMSProgram/Shared%20Documents/General/09%20-%20Project/NTL/Plan%20B%20Estimation/PlanB%20impact%20analysis_rev15.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lstomgroup-my.sharepoint.com/DOCUME~1/e_cbourd/LOCALS~1/Temp/D.Notes.Data/REF_TEM_004_1.xls"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https://alstomgroup.sharepoint.com/Users/mariapia.pellicone/AppData/Local/Microsoft/Windows/Temporary%20Internet%20Files/Content.Outlook/SRG004M9/Svezia/3.0%20CT2803-D200-E151623_ReqMatrix/S1%20-%2029.01.16/Compliance_Matrix_Trafikverket_Nationell_T&#229;gLedning_(NTL)_2A.xlsx?FEFE29E7" TargetMode="External"/><Relationship Id="rId1" Type="http://schemas.openxmlformats.org/officeDocument/2006/relationships/externalLinkPath" Target="file:///\\FEFE29E7\Compliance_Matrix_Trafikverket_Nationell_T&#229;gLedning_(NTL)_2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fcrl10003\bsi\Users\mpreval\Desktop\2016-12-16%20-%20PM%20validated%20with%20BH&amp;PVN%20+%20SOH%20-%20PrEM%20modification%20&amp;%20add%20Interface-Stakeholder.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alstomgroup-my.sharepoint.com/personal/alessandro_mastronardi_alstomgroup_com/Documents/MyWS/Projects/NTL%20Svezia/Plan%20B/Joint%20planning/02.%20Core%20Team%20Curves_V0.1_NTL%20Plan%20B_v8.xlsx" TargetMode="External"/><Relationship Id="rId1" Type="http://schemas.openxmlformats.org/officeDocument/2006/relationships/externalLinkPath" Target="https://alstomgroup-my.sharepoint.com/personal/alessandro_mastronardi_alstomgroup_com/Documents/MyWS/Projects/NTL%20Svezia/Plan%20B/Joint%20planning/02.%20Core%20Team%20Curves_V0.1_NTL%20Plan%20B_v8.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alstomgroup-my.sharepoint.com/Users/rmiani/Downloads/NTL/ore%20VO/Final/NTL%20BLQ%20Value%20and%20FTE%20internal%201901-2009.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alstomgroup-my.sharepoint.com/Users/rmiani/OneDrive%20-%20Alstom/Alstom/Actuals/NTL%20actual%20a%20vita%20inter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iglio"/>
      <sheetName val="Rev Log"/>
      <sheetName val="Legenda"/>
      <sheetName val="Main"/>
      <sheetName val="Grafici_KPI"/>
      <sheetName val="Monitoraggio_KPI"/>
      <sheetName val="01_UsNB"/>
      <sheetName val="02_UsNB"/>
      <sheetName val="03_UsNB"/>
      <sheetName val="04_UsNB"/>
      <sheetName val="05_UsNB"/>
      <sheetName val="06_UsNB"/>
      <sheetName val="07_UsNB"/>
      <sheetName val="08_UsNB"/>
      <sheetName val="Rev_Log"/>
      <sheetName val="Rev_Log1"/>
      <sheetName val="Rev_Log7"/>
      <sheetName val="Rev_Log2"/>
      <sheetName val="Rev_Log3"/>
      <sheetName val="Rev_Log4"/>
      <sheetName val="Rev_Log5"/>
      <sheetName val="Rev_Log6"/>
      <sheetName val="Rev_Log13"/>
      <sheetName val="Rev_Log8"/>
      <sheetName val="Rev_Log9"/>
      <sheetName val="Rev_Log10"/>
      <sheetName val="Rev_Log11"/>
      <sheetName val="Rev_Log12"/>
      <sheetName val="Rev_Log14"/>
      <sheetName val="Rev_Log15"/>
      <sheetName val="Rev_Log16"/>
    </sheetNames>
    <sheetDataSet>
      <sheetData sheetId="0" refreshError="1"/>
      <sheetData sheetId="1" refreshError="1"/>
      <sheetData sheetId="2">
        <row r="9">
          <cell r="B9" t="str">
            <v>Basic</v>
          </cell>
        </row>
        <row r="44">
          <cell r="B44" t="str">
            <v>ICONIS_RW</v>
          </cell>
        </row>
        <row r="45">
          <cell r="B45" t="str">
            <v>ICONIS_S2K</v>
          </cell>
        </row>
        <row r="46">
          <cell r="B46" t="str">
            <v>ICONIS_SS</v>
          </cell>
        </row>
        <row r="47">
          <cell r="B47" t="str">
            <v>ATS_DataPrep</v>
          </cell>
        </row>
        <row r="48">
          <cell r="B48" t="str">
            <v>D&amp;M_DataPrep</v>
          </cell>
        </row>
        <row r="49">
          <cell r="B49" t="str">
            <v>TSS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oglio1"/>
      <sheetName val="FTE %"/>
      <sheetName val="Changelog"/>
      <sheetName val="Open Points"/>
      <sheetName val="Plan B Team Pause"/>
      <sheetName val="Plan B Team"/>
      <sheetName val=" Cost"/>
      <sheetName val="Workload"/>
      <sheetName val="Roadmap_AC"/>
      <sheetName val="ASIS proposal"/>
      <sheetName val="Staffing Graph"/>
      <sheetName val="CoreTeam Simulator"/>
      <sheetName val="Risks"/>
      <sheetName val="ppt"/>
      <sheetName val="Finance"/>
      <sheetName val="Functional Design Spec Dic23"/>
      <sheetName val="BC effort"/>
      <sheetName val="Plan B Team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7">
          <cell r="G7">
            <v>2</v>
          </cell>
        </row>
        <row r="8">
          <cell r="G8">
            <v>1</v>
          </cell>
        </row>
        <row r="9">
          <cell r="G9">
            <v>2</v>
          </cell>
        </row>
        <row r="10">
          <cell r="G10">
            <v>0</v>
          </cell>
          <cell r="I10">
            <v>0.1</v>
          </cell>
        </row>
        <row r="11">
          <cell r="G11">
            <v>0</v>
          </cell>
          <cell r="I11">
            <v>0.25</v>
          </cell>
        </row>
        <row r="12">
          <cell r="G12">
            <v>0</v>
          </cell>
          <cell r="I12">
            <v>0.5</v>
          </cell>
        </row>
        <row r="13">
          <cell r="G13">
            <v>145</v>
          </cell>
        </row>
        <row r="91">
          <cell r="F91">
            <v>8</v>
          </cell>
        </row>
        <row r="92">
          <cell r="F92">
            <v>9</v>
          </cell>
        </row>
        <row r="94">
          <cell r="F94">
            <v>75</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 Page 01"/>
      <sheetName val="Control Sheet Page 02"/>
      <sheetName val="Pivot M"/>
      <sheetName val="Front_Page_01"/>
      <sheetName val="Control_Sheet_Page_02"/>
      <sheetName val="Front_Page_012"/>
      <sheetName val="Control_Sheet_Page_022"/>
      <sheetName val="Front_Page_011"/>
      <sheetName val="Control_Sheet_Page_021"/>
      <sheetName val="Options_MSRS"/>
      <sheetName val="Options_CR Consolidation"/>
      <sheetName val="règle"/>
      <sheetName val="Feuil1"/>
      <sheetName val="Liste EFB"/>
      <sheetName val="FBS SBS TRS"/>
      <sheetName val="Tables"/>
      <sheetName val="MASTERDATA"/>
      <sheetName val="Data"/>
      <sheetName val="listes"/>
      <sheetName val="Selection"/>
      <sheetName val="TW Supplier List"/>
      <sheetName val="REF-01"/>
      <sheetName val="Sheet2"/>
      <sheetName val="Data Validation"/>
    </sheetNames>
    <sheetDataSet>
      <sheetData sheetId="0">
        <row r="89">
          <cell r="G89" t="str">
            <v>Type</v>
          </cell>
        </row>
      </sheetData>
      <sheetData sheetId="1"/>
      <sheetData sheetId="2" refreshError="1"/>
      <sheetData sheetId="3">
        <row r="89">
          <cell r="G89" t="str">
            <v>Type</v>
          </cell>
        </row>
      </sheetData>
      <sheetData sheetId="4"/>
      <sheetData sheetId="5"/>
      <sheetData sheetId="6"/>
      <sheetData sheetId="7">
        <row r="89">
          <cell r="G89" t="str">
            <v>Type</v>
          </cell>
        </row>
      </sheetData>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Rev Log"/>
      <sheetName val="Legend"/>
      <sheetName val="Main"/>
      <sheetName val="KPI Charts"/>
      <sheetName val="KPI_Monitoring"/>
      <sheetName val="01_S1.2"/>
      <sheetName val="02_S1.2.2"/>
      <sheetName val="03_S1.3"/>
      <sheetName val="04_S1.4"/>
      <sheetName val="05_S1.5"/>
      <sheetName val="06_S1.6"/>
      <sheetName val="07_S1.7"/>
      <sheetName val="08_S1.8"/>
      <sheetName val="Images"/>
      <sheetName val="Tables"/>
    </sheetNames>
    <sheetDataSet>
      <sheetData sheetId="0"/>
      <sheetData sheetId="1"/>
      <sheetData sheetId="2">
        <row r="5">
          <cell r="B5" t="str">
            <v>Yes</v>
          </cell>
        </row>
        <row r="6">
          <cell r="B6" t="str">
            <v>No</v>
          </cell>
        </row>
        <row r="8">
          <cell r="B8" t="str">
            <v>Yes</v>
          </cell>
        </row>
        <row r="9">
          <cell r="B9" t="str">
            <v>No</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ph"/>
      <sheetName val="Table"/>
      <sheetName val="Serie parallelle"/>
      <sheetName val="Type train_workshop"/>
      <sheetName val="Ressources"/>
      <sheetName val="QTY_trains"/>
      <sheetName val="Feuil1"/>
      <sheetName val="Feuil2"/>
      <sheetName val="SOH"/>
      <sheetName val="Travel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80515"/>
      <sheetName val="180515 vu Mathilde"/>
      <sheetName val="CoreTeam Simulator"/>
      <sheetName val="Sheet1"/>
      <sheetName val="KPIs Description"/>
      <sheetName val="Data"/>
      <sheetName val="Medium Project (New Build EXT)"/>
      <sheetName val="Difficult Project (Retrofit)"/>
      <sheetName val="Working Version"/>
    </sheetNames>
    <sheetDataSet>
      <sheetData sheetId="0"/>
      <sheetData sheetId="1"/>
      <sheetData sheetId="2"/>
      <sheetData sheetId="3"/>
      <sheetData sheetId="4"/>
      <sheetData sheetId="5">
        <row r="2">
          <cell r="B2">
            <v>0</v>
          </cell>
        </row>
        <row r="3">
          <cell r="B3">
            <v>1</v>
          </cell>
        </row>
        <row r="4">
          <cell r="B4">
            <v>2</v>
          </cell>
        </row>
        <row r="5">
          <cell r="B5">
            <v>3</v>
          </cell>
        </row>
        <row r="6">
          <cell r="B6">
            <v>4</v>
          </cell>
        </row>
        <row r="7">
          <cell r="B7">
            <v>5</v>
          </cell>
        </row>
      </sheetData>
      <sheetData sheetId="6"/>
      <sheetData sheetId="7"/>
      <sheetData sheetId="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 page"/>
      <sheetName val="Description"/>
      <sheetName val="Summary"/>
      <sheetName val="Internal effort and value"/>
      <sheetName val="Internal effort demostrated"/>
      <sheetName val="Internal FTE sent to TRV"/>
      <sheetName val="Signalling account"/>
      <sheetName val="Service account"/>
      <sheetName val="SA account"/>
      <sheetName val="SAP vs GSI WBS map"/>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glio4"/>
      <sheetName val="Foglio5"/>
      <sheetName val="Foglio6"/>
      <sheetName val="sap actual con conversion"/>
      <sheetName val="conv_ntw_WBS GSI"/>
      <sheetName val="GSI_structure"/>
    </sheetNames>
    <sheetDataSet>
      <sheetData sheetId="0"/>
      <sheetData sheetId="1"/>
      <sheetData sheetId="2"/>
      <sheetData sheetId="3"/>
      <sheetData sheetId="4"/>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STRONARDI Alessandro" refreshedDate="45460.396263310184" createdVersion="8" refreshedVersion="8" minRefreshableVersion="3" recordCount="23" xr:uid="{A0FA6FF7-EFBE-45D9-9E93-FD08B7E8BB8E}">
  <cacheSource type="worksheet">
    <worksheetSource ref="A1:I24" sheet="Team"/>
  </cacheSource>
  <cacheFields count="9">
    <cacheField name="Role" numFmtId="0">
      <sharedItems/>
    </cacheField>
    <cacheField name="Team" numFmtId="0">
      <sharedItems count="11">
        <s v="Program Management"/>
        <s v="PRSAA"/>
        <s v="Core Development"/>
        <s v="System"/>
        <s v="HMI Development"/>
        <s v="V&amp;V"/>
        <s v="Tech. Tool"/>
        <s v="Program Mgm" u="1"/>
        <s v="HMI UX" u="1"/>
        <s v="Core" u="1"/>
        <s v="HMI" u="1"/>
      </sharedItems>
    </cacheField>
    <cacheField name="Name" numFmtId="0">
      <sharedItems count="21">
        <s v="Mastronardi Alessandro"/>
        <s v="Scaldaferri Antonio"/>
        <s v="GANESAN Arun-Kumar_x000a_"/>
        <s v="Di Carmine Antonio"/>
        <s v="Schalch Wagner"/>
        <s v="Feuli Fabio"/>
        <s v="Mostallino Francesco"/>
        <s v="Tarozzi Luca (or GIORGIA)"/>
        <s v="Santonastasi Luca"/>
        <s v="Ennova HMI"/>
        <s v="Calitri Giuseppe"/>
        <s v="Manzali Matteo"/>
        <s v="Piletti Stefano"/>
        <s v="Pollini Davide"/>
        <s v="Libardi Paolo"/>
        <s v="Mases"/>
        <s v="Tozzi Barbara"/>
        <s v="Romiti Giacomi"/>
        <s v="Franceschini Elisa"/>
        <s v="Magnoni(replacement)"/>
        <s v="BGL resources"/>
      </sharedItems>
    </cacheField>
    <cacheField name="FTE" numFmtId="0">
      <sharedItems containsBlank="1" containsMixedTypes="1" containsNumber="1" minValue="0.2" maxValue="1"/>
    </cacheField>
    <cacheField name="Int/Ext" numFmtId="0">
      <sharedItems count="2">
        <s v="Int"/>
        <s v="Ext"/>
      </sharedItems>
    </cacheField>
    <cacheField name="2024-2025 Hours" numFmtId="0">
      <sharedItems containsSemiMixedTypes="0" containsString="0" containsNumber="1" containsInteger="1" minValue="384" maxValue="3840"/>
    </cacheField>
    <cacheField name="2025-2026 Hours" numFmtId="0">
      <sharedItems containsSemiMixedTypes="0" containsString="0" containsNumber="1" containsInteger="1" minValue="384" maxValue="3840"/>
    </cacheField>
    <cacheField name="Total Hours" numFmtId="0">
      <sharedItems containsSemiMixedTypes="0" containsString="0" containsNumber="1" containsInteger="1" minValue="768" maxValue="7680"/>
    </cacheField>
    <cacheField name="Total Cost" numFmtId="0">
      <sharedItems containsSemiMixedTypes="0" containsString="0" containsNumber="1" containsInteger="1" minValue="41472" maxValue="2304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STRONARDI Alessandro" refreshedDate="45460.396263541668" createdVersion="8" refreshedVersion="8" minRefreshableVersion="3" recordCount="119" xr:uid="{5788C726-5920-4346-955B-559236B7D73F}">
  <cacheSource type="worksheet">
    <worksheetSource ref="A9:I128" sheet="Planback"/>
  </cacheSource>
  <cacheFields count="9">
    <cacheField name="Step" numFmtId="0">
      <sharedItems/>
    </cacheField>
    <cacheField name="Owner" numFmtId="0">
      <sharedItems containsNonDate="0" containsString="0" containsBlank="1"/>
    </cacheField>
    <cacheField name="Activity" numFmtId="0">
      <sharedItems count="24">
        <s v="System to System Integration ICONIS"/>
        <s v="System to System Integration ICONIS System"/>
        <s v="System to System Integration ICONIS Core Development"/>
        <s v="System to System Integration ICONIS HMI Development"/>
        <s v="System to System Integration ICONIS DataPrep"/>
        <s v="System to System Integration ICONIS V&amp;V"/>
        <s v="System to System Integration ICONIS Other"/>
        <s v="Simplified PEF+enable/Disable"/>
        <s v="Simplified PEF+enable/Disable System"/>
        <s v="Territory Assignment Areas syncronization "/>
        <s v="Digital possession and safety notes"/>
        <s v="Extended PEF"/>
        <s v="Conflict Detection"/>
        <s v="light client ICONIS - EBICOS Integration "/>
        <s v="_x000a_TSR indication integration (Digital possession and safety notes) "/>
        <s v="BC Offline Services Support"/>
        <s v="BC External Interface Support"/>
        <s v="BC Maintenance console update"/>
        <s v="TAC"/>
        <s v="TAPV (PBC)"/>
        <s v="Shunting plan handling"/>
        <s v="ERTMS"/>
        <s v="MPK(Shunting Plan)"/>
        <s v="Bridge Diag. &amp; Log Connector"/>
      </sharedItems>
    </cacheField>
    <cacheField name="Sub-Activity" numFmtId="0">
      <sharedItems containsBlank="1" count="7">
        <m/>
        <s v="System"/>
        <s v="Core Development"/>
        <s v="HMI Development"/>
        <s v="DataPrep"/>
        <s v="V&amp;V"/>
        <s v="Other"/>
      </sharedItems>
    </cacheField>
    <cacheField name="Man-hours" numFmtId="0">
      <sharedItems containsSemiMixedTypes="0" containsString="0" containsNumber="1" containsInteger="1" minValue="0" maxValue="52800"/>
    </cacheField>
    <cacheField name="Man-days" numFmtId="0">
      <sharedItems containsSemiMixedTypes="0" containsString="0" containsNumber="1" containsInteger="1" minValue="0" maxValue="6600"/>
    </cacheField>
    <cacheField name="Man-months" numFmtId="0">
      <sharedItems containsSemiMixedTypes="0" containsString="0" containsNumber="1" containsInteger="1" minValue="0" maxValue="330"/>
    </cacheField>
    <cacheField name="N. Resources" numFmtId="0">
      <sharedItems containsSemiMixedTypes="0" containsString="0" containsNumber="1" containsInteger="1" minValue="1" maxValue="10"/>
    </cacheField>
    <cacheField name="Costs" numFmtId="0">
      <sharedItems containsSemiMixedTypes="0" containsString="0" containsNumber="1" containsInteger="1" minValue="0" maxValue="2851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s v="PM"/>
    <x v="0"/>
    <x v="0"/>
    <n v="1"/>
    <x v="0"/>
    <n v="1920"/>
    <n v="1920"/>
    <n v="3840"/>
    <n v="207360"/>
  </r>
  <r>
    <s v="System Architect"/>
    <x v="1"/>
    <x v="1"/>
    <n v="1"/>
    <x v="0"/>
    <n v="1920"/>
    <n v="1920"/>
    <n v="3840"/>
    <n v="207360"/>
  </r>
  <r>
    <s v="Tech Lead"/>
    <x v="2"/>
    <x v="2"/>
    <n v="1"/>
    <x v="0"/>
    <n v="1920"/>
    <n v="1920"/>
    <n v="3840"/>
    <n v="207360"/>
  </r>
  <r>
    <s v="Design Autority"/>
    <x v="2"/>
    <x v="3"/>
    <n v="0.5"/>
    <x v="0"/>
    <n v="960"/>
    <n v="960"/>
    <n v="1920"/>
    <n v="103680"/>
  </r>
  <r>
    <s v="Design Autority"/>
    <x v="3"/>
    <x v="4"/>
    <s v="0,5"/>
    <x v="0"/>
    <n v="960"/>
    <n v="960"/>
    <n v="1920"/>
    <n v="103680"/>
  </r>
  <r>
    <s v="System Architect"/>
    <x v="3"/>
    <x v="5"/>
    <n v="0.3"/>
    <x v="0"/>
    <n v="640"/>
    <n v="640"/>
    <n v="1280"/>
    <n v="69120"/>
  </r>
  <r>
    <s v="System Architect"/>
    <x v="3"/>
    <x v="6"/>
    <n v="0.3"/>
    <x v="0"/>
    <n v="640"/>
    <n v="640"/>
    <n v="1280"/>
    <n v="69120"/>
  </r>
  <r>
    <s v="HMI"/>
    <x v="4"/>
    <x v="7"/>
    <n v="1"/>
    <x v="0"/>
    <n v="1920"/>
    <n v="1920"/>
    <n v="3840"/>
    <n v="207360"/>
  </r>
  <r>
    <s v="HMI"/>
    <x v="4"/>
    <x v="8"/>
    <n v="1"/>
    <x v="0"/>
    <n v="1920"/>
    <n v="1920"/>
    <n v="3840"/>
    <n v="207360"/>
  </r>
  <r>
    <s v="HMI"/>
    <x v="4"/>
    <x v="9"/>
    <n v="1"/>
    <x v="1"/>
    <n v="1920"/>
    <n v="1920"/>
    <n v="3840"/>
    <n v="207360"/>
  </r>
  <r>
    <s v="Sw Architect"/>
    <x v="2"/>
    <x v="10"/>
    <n v="1"/>
    <x v="0"/>
    <n v="1920"/>
    <n v="1920"/>
    <n v="3840"/>
    <n v="207360"/>
  </r>
  <r>
    <s v="Sw Architect"/>
    <x v="2"/>
    <x v="11"/>
    <n v="1"/>
    <x v="0"/>
    <n v="1920"/>
    <n v="1920"/>
    <n v="3840"/>
    <n v="207360"/>
  </r>
  <r>
    <s v="Sw Architect"/>
    <x v="2"/>
    <x v="12"/>
    <n v="0.5"/>
    <x v="0"/>
    <n v="960"/>
    <n v="960"/>
    <n v="1920"/>
    <n v="103680"/>
  </r>
  <r>
    <s v="Sw Architect"/>
    <x v="2"/>
    <x v="13"/>
    <n v="0.5"/>
    <x v="0"/>
    <n v="960"/>
    <n v="960"/>
    <n v="1920"/>
    <n v="103680"/>
  </r>
  <r>
    <s v="Sw Architect"/>
    <x v="2"/>
    <x v="14"/>
    <n v="0.2"/>
    <x v="0"/>
    <n v="384"/>
    <n v="384"/>
    <n v="768"/>
    <n v="41472"/>
  </r>
  <r>
    <s v="Sw Architect"/>
    <x v="2"/>
    <x v="15"/>
    <n v="1"/>
    <x v="1"/>
    <n v="1920"/>
    <n v="1920"/>
    <n v="3840"/>
    <n v="207360"/>
  </r>
  <r>
    <s v="V&amp;V engineer"/>
    <x v="5"/>
    <x v="16"/>
    <n v="1"/>
    <x v="0"/>
    <n v="1920"/>
    <n v="1920"/>
    <n v="3840"/>
    <n v="207360"/>
  </r>
  <r>
    <s v="V&amp;V engineer"/>
    <x v="5"/>
    <x v="17"/>
    <n v="1"/>
    <x v="1"/>
    <n v="1920"/>
    <n v="1920"/>
    <n v="3840"/>
    <n v="207360"/>
  </r>
  <r>
    <s v="V&amp;V engineer"/>
    <x v="5"/>
    <x v="16"/>
    <n v="1"/>
    <x v="1"/>
    <n v="1920"/>
    <n v="1920"/>
    <n v="3840"/>
    <n v="207360"/>
  </r>
  <r>
    <s v="V&amp;V engineer"/>
    <x v="5"/>
    <x v="16"/>
    <n v="1"/>
    <x v="1"/>
    <n v="1920"/>
    <n v="1920"/>
    <n v="3840"/>
    <n v="207360"/>
  </r>
  <r>
    <s v="Human Factor"/>
    <x v="4"/>
    <x v="18"/>
    <n v="0.3"/>
    <x v="0"/>
    <n v="640"/>
    <n v="640"/>
    <n v="1280"/>
    <n v="69120"/>
  </r>
  <r>
    <s v="Tech tools"/>
    <x v="6"/>
    <x v="19"/>
    <n v="0.3"/>
    <x v="0"/>
    <n v="576"/>
    <n v="576"/>
    <n v="1152"/>
    <n v="62208"/>
  </r>
  <r>
    <s v="BGL"/>
    <x v="4"/>
    <x v="20"/>
    <m/>
    <x v="0"/>
    <n v="3840"/>
    <n v="3840"/>
    <n v="7680"/>
    <n v="2304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
  <r>
    <s v="STEP1"/>
    <m/>
    <x v="0"/>
    <x v="0"/>
    <n v="0"/>
    <n v="0"/>
    <n v="0"/>
    <n v="1"/>
    <n v="371520"/>
  </r>
  <r>
    <s v="STEP1"/>
    <m/>
    <x v="1"/>
    <x v="1"/>
    <n v="640"/>
    <n v="80"/>
    <n v="4"/>
    <n v="2"/>
    <n v="34560"/>
  </r>
  <r>
    <s v="STEP1"/>
    <m/>
    <x v="2"/>
    <x v="2"/>
    <n v="5760"/>
    <n v="720"/>
    <n v="36"/>
    <n v="3"/>
    <n v="311040"/>
  </r>
  <r>
    <s v="STEP1"/>
    <m/>
    <x v="3"/>
    <x v="3"/>
    <n v="0"/>
    <n v="0"/>
    <n v="0"/>
    <n v="1"/>
    <n v="0"/>
  </r>
  <r>
    <s v="STEP1"/>
    <m/>
    <x v="4"/>
    <x v="4"/>
    <n v="0"/>
    <n v="0"/>
    <n v="0"/>
    <n v="1"/>
    <n v="0"/>
  </r>
  <r>
    <s v="STEP1"/>
    <m/>
    <x v="5"/>
    <x v="5"/>
    <n v="480"/>
    <n v="60"/>
    <n v="3"/>
    <n v="1"/>
    <n v="25920"/>
  </r>
  <r>
    <s v="STEP1"/>
    <m/>
    <x v="6"/>
    <x v="6"/>
    <n v="0"/>
    <n v="0"/>
    <n v="0"/>
    <n v="1"/>
    <n v="0"/>
  </r>
  <r>
    <s v="STEP1"/>
    <m/>
    <x v="7"/>
    <x v="0"/>
    <n v="0"/>
    <n v="0"/>
    <n v="0"/>
    <n v="1"/>
    <n v="0"/>
  </r>
  <r>
    <s v="STEP1"/>
    <m/>
    <x v="8"/>
    <x v="1"/>
    <n v="480"/>
    <n v="60"/>
    <n v="3"/>
    <n v="1"/>
    <n v="25920"/>
  </r>
  <r>
    <s v="STEP1"/>
    <m/>
    <x v="2"/>
    <x v="2"/>
    <n v="5280"/>
    <n v="660"/>
    <n v="33"/>
    <n v="1"/>
    <n v="285120"/>
  </r>
  <r>
    <s v="STEP1"/>
    <m/>
    <x v="3"/>
    <x v="3"/>
    <n v="0"/>
    <n v="0"/>
    <n v="0"/>
    <n v="1"/>
    <n v="0"/>
  </r>
  <r>
    <s v="STEP1"/>
    <m/>
    <x v="4"/>
    <x v="4"/>
    <n v="0"/>
    <n v="0"/>
    <n v="0"/>
    <n v="1"/>
    <n v="0"/>
  </r>
  <r>
    <s v="STEP1"/>
    <m/>
    <x v="5"/>
    <x v="5"/>
    <n v="0"/>
    <n v="0"/>
    <n v="0"/>
    <n v="1"/>
    <n v="0"/>
  </r>
  <r>
    <s v="STEP1"/>
    <m/>
    <x v="6"/>
    <x v="6"/>
    <n v="0"/>
    <n v="0"/>
    <n v="0"/>
    <n v="1"/>
    <n v="0"/>
  </r>
  <r>
    <s v="STEP1"/>
    <m/>
    <x v="9"/>
    <x v="0"/>
    <n v="0"/>
    <n v="0"/>
    <n v="0"/>
    <n v="1"/>
    <n v="0"/>
  </r>
  <r>
    <s v="STEP1"/>
    <m/>
    <x v="1"/>
    <x v="1"/>
    <n v="320"/>
    <n v="40"/>
    <n v="2"/>
    <n v="1"/>
    <n v="17280"/>
  </r>
  <r>
    <s v="STEP1"/>
    <m/>
    <x v="2"/>
    <x v="2"/>
    <n v="640"/>
    <n v="80"/>
    <n v="4"/>
    <n v="1"/>
    <n v="34560"/>
  </r>
  <r>
    <s v="STEP1"/>
    <m/>
    <x v="3"/>
    <x v="3"/>
    <n v="52800"/>
    <n v="6600"/>
    <n v="330"/>
    <n v="10"/>
    <n v="2851200"/>
  </r>
  <r>
    <s v="STEP1"/>
    <m/>
    <x v="4"/>
    <x v="4"/>
    <n v="0"/>
    <n v="0"/>
    <n v="0"/>
    <n v="1"/>
    <n v="0"/>
  </r>
  <r>
    <s v="STEP1"/>
    <m/>
    <x v="5"/>
    <x v="5"/>
    <n v="0"/>
    <n v="0"/>
    <n v="0"/>
    <n v="1"/>
    <n v="0"/>
  </r>
  <r>
    <s v="STEP1"/>
    <m/>
    <x v="6"/>
    <x v="6"/>
    <n v="0"/>
    <n v="0"/>
    <n v="0"/>
    <n v="1"/>
    <n v="0"/>
  </r>
  <r>
    <s v="STEP1"/>
    <m/>
    <x v="10"/>
    <x v="0"/>
    <n v="0"/>
    <n v="0"/>
    <n v="0"/>
    <n v="1"/>
    <n v="0"/>
  </r>
  <r>
    <s v="STEP1"/>
    <m/>
    <x v="1"/>
    <x v="1"/>
    <n v="320"/>
    <n v="40"/>
    <n v="2"/>
    <n v="1"/>
    <n v="17280"/>
  </r>
  <r>
    <s v="STEP1"/>
    <m/>
    <x v="2"/>
    <x v="2"/>
    <n v="640"/>
    <n v="80"/>
    <n v="4"/>
    <n v="1"/>
    <n v="34560"/>
  </r>
  <r>
    <s v="STEP1"/>
    <m/>
    <x v="3"/>
    <x v="3"/>
    <n v="0"/>
    <n v="0"/>
    <n v="0"/>
    <n v="1"/>
    <n v="0"/>
  </r>
  <r>
    <s v="STEP1"/>
    <m/>
    <x v="4"/>
    <x v="4"/>
    <n v="0"/>
    <n v="0"/>
    <n v="0"/>
    <n v="1"/>
    <n v="0"/>
  </r>
  <r>
    <s v="STEP1"/>
    <m/>
    <x v="5"/>
    <x v="5"/>
    <n v="0"/>
    <n v="0"/>
    <n v="0"/>
    <n v="1"/>
    <n v="0"/>
  </r>
  <r>
    <s v="STEP1"/>
    <m/>
    <x v="6"/>
    <x v="6"/>
    <n v="0"/>
    <n v="0"/>
    <n v="0"/>
    <n v="1"/>
    <n v="0"/>
  </r>
  <r>
    <s v="STEP1"/>
    <m/>
    <x v="11"/>
    <x v="0"/>
    <n v="0"/>
    <n v="0"/>
    <n v="0"/>
    <n v="1"/>
    <n v="0"/>
  </r>
  <r>
    <s v="STEP1"/>
    <m/>
    <x v="1"/>
    <x v="1"/>
    <n v="0"/>
    <n v="0"/>
    <n v="0"/>
    <n v="1"/>
    <n v="0"/>
  </r>
  <r>
    <s v="STEP1"/>
    <m/>
    <x v="2"/>
    <x v="2"/>
    <n v="640"/>
    <n v="80"/>
    <n v="4"/>
    <n v="1"/>
    <n v="34560"/>
  </r>
  <r>
    <s v="STEP1"/>
    <m/>
    <x v="3"/>
    <x v="3"/>
    <n v="0"/>
    <n v="0"/>
    <n v="0"/>
    <n v="1"/>
    <n v="0"/>
  </r>
  <r>
    <s v="STEP1"/>
    <m/>
    <x v="4"/>
    <x v="4"/>
    <n v="0"/>
    <n v="0"/>
    <n v="0"/>
    <n v="1"/>
    <n v="0"/>
  </r>
  <r>
    <s v="STEP1"/>
    <m/>
    <x v="5"/>
    <x v="5"/>
    <n v="0"/>
    <n v="0"/>
    <n v="0"/>
    <n v="1"/>
    <n v="0"/>
  </r>
  <r>
    <s v="STEP1"/>
    <m/>
    <x v="6"/>
    <x v="6"/>
    <n v="0"/>
    <n v="0"/>
    <n v="0"/>
    <n v="1"/>
    <n v="0"/>
  </r>
  <r>
    <s v="STEP1"/>
    <m/>
    <x v="12"/>
    <x v="0"/>
    <n v="0"/>
    <n v="0"/>
    <n v="0"/>
    <n v="1"/>
    <n v="0"/>
  </r>
  <r>
    <s v="STEP1"/>
    <m/>
    <x v="1"/>
    <x v="1"/>
    <n v="0"/>
    <n v="0"/>
    <n v="0"/>
    <n v="1"/>
    <n v="0"/>
  </r>
  <r>
    <s v="STEP1"/>
    <m/>
    <x v="2"/>
    <x v="2"/>
    <n v="0"/>
    <n v="0"/>
    <n v="0"/>
    <n v="1"/>
    <n v="0"/>
  </r>
  <r>
    <s v="STEP1"/>
    <m/>
    <x v="3"/>
    <x v="3"/>
    <n v="0"/>
    <n v="0"/>
    <n v="0"/>
    <n v="1"/>
    <n v="0"/>
  </r>
  <r>
    <s v="STEP1"/>
    <m/>
    <x v="4"/>
    <x v="4"/>
    <n v="0"/>
    <n v="0"/>
    <n v="0"/>
    <n v="1"/>
    <n v="0"/>
  </r>
  <r>
    <s v="STEP1"/>
    <m/>
    <x v="5"/>
    <x v="5"/>
    <n v="0"/>
    <n v="0"/>
    <n v="0"/>
    <n v="1"/>
    <n v="0"/>
  </r>
  <r>
    <s v="STEP1"/>
    <m/>
    <x v="6"/>
    <x v="6"/>
    <n v="0"/>
    <n v="0"/>
    <n v="0"/>
    <n v="1"/>
    <n v="0"/>
  </r>
  <r>
    <s v="STEP2"/>
    <m/>
    <x v="13"/>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14"/>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15"/>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16"/>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17"/>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18"/>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19"/>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20"/>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21"/>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22"/>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r>
    <s v="STEP2"/>
    <m/>
    <x v="23"/>
    <x v="0"/>
    <n v="0"/>
    <n v="0"/>
    <n v="0"/>
    <n v="1"/>
    <n v="0"/>
  </r>
  <r>
    <s v="STEP2"/>
    <m/>
    <x v="1"/>
    <x v="1"/>
    <n v="0"/>
    <n v="0"/>
    <n v="0"/>
    <n v="1"/>
    <n v="0"/>
  </r>
  <r>
    <s v="STEP2"/>
    <m/>
    <x v="2"/>
    <x v="2"/>
    <n v="0"/>
    <n v="0"/>
    <n v="0"/>
    <n v="1"/>
    <n v="0"/>
  </r>
  <r>
    <s v="STEP2"/>
    <m/>
    <x v="3"/>
    <x v="3"/>
    <n v="0"/>
    <n v="0"/>
    <n v="0"/>
    <n v="1"/>
    <n v="0"/>
  </r>
  <r>
    <s v="STEP2"/>
    <m/>
    <x v="4"/>
    <x v="4"/>
    <n v="0"/>
    <n v="0"/>
    <n v="0"/>
    <n v="1"/>
    <n v="0"/>
  </r>
  <r>
    <s v="STEP2"/>
    <m/>
    <x v="5"/>
    <x v="5"/>
    <n v="0"/>
    <n v="0"/>
    <n v="0"/>
    <n v="1"/>
    <n v="0"/>
  </r>
  <r>
    <s v="STEP2"/>
    <m/>
    <x v="6"/>
    <x v="6"/>
    <n v="0"/>
    <n v="0"/>
    <n v="0"/>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BE0054-C434-4373-8EEC-CE6895EF2F0D}" name="PivotTable1"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lanned Activities">
  <location ref="A65:C71" firstHeaderRow="0" firstDataRow="1" firstDataCol="1"/>
  <pivotFields count="9">
    <pivotField showAll="0"/>
    <pivotField showAll="0"/>
    <pivotField axis="axisRow" dataField="1" showAll="0">
      <items count="25">
        <item x="14"/>
        <item x="16"/>
        <item x="17"/>
        <item x="15"/>
        <item x="23"/>
        <item x="12"/>
        <item x="10"/>
        <item x="21"/>
        <item x="11"/>
        <item x="13"/>
        <item x="22"/>
        <item x="20"/>
        <item x="7"/>
        <item x="8"/>
        <item x="0"/>
        <item x="2"/>
        <item x="4"/>
        <item x="3"/>
        <item x="6"/>
        <item x="1"/>
        <item x="5"/>
        <item x="18"/>
        <item x="19"/>
        <item x="9"/>
        <item t="default"/>
      </items>
    </pivotField>
    <pivotField axis="axisRow" showAll="0">
      <items count="8">
        <item x="2"/>
        <item h="1" sd="0" x="4"/>
        <item sd="0" x="3"/>
        <item h="1" sd="0" x="6"/>
        <item sd="0" x="1"/>
        <item sd="0" x="5"/>
        <item h="1" sd="0" x="0"/>
        <item t="default"/>
      </items>
    </pivotField>
    <pivotField dataField="1" showAll="0"/>
    <pivotField showAll="0"/>
    <pivotField showAll="0"/>
    <pivotField showAll="0"/>
    <pivotField showAll="0"/>
  </pivotFields>
  <rowFields count="2">
    <field x="3"/>
    <field x="2"/>
  </rowFields>
  <rowItems count="6">
    <i>
      <x/>
    </i>
    <i r="1">
      <x v="15"/>
    </i>
    <i>
      <x v="2"/>
    </i>
    <i>
      <x v="4"/>
    </i>
    <i>
      <x v="5"/>
    </i>
    <i t="grand">
      <x/>
    </i>
  </rowItems>
  <colFields count="1">
    <field x="-2"/>
  </colFields>
  <colItems count="2">
    <i>
      <x/>
    </i>
    <i i="1">
      <x v="1"/>
    </i>
  </colItems>
  <dataFields count="2">
    <dataField name="Count of Activity" fld="2" subtotal="count" baseField="0" baseItem="0"/>
    <dataField name="Sum of Man-hours" fld="4" baseField="0" baseItem="0"/>
  </dataFields>
  <formats count="1">
    <format dxfId="3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175332-F6C8-438A-A9CA-B1A6FEA475B9}" name="PivotTable3"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0:D59" firstHeaderRow="0" firstDataRow="1" firstDataCol="1"/>
  <pivotFields count="9">
    <pivotField showAll="0"/>
    <pivotField axis="axisRow" showAll="0">
      <items count="12">
        <item m="1" x="9"/>
        <item m="1" x="10"/>
        <item m="1" x="8"/>
        <item m="1" x="7"/>
        <item x="1"/>
        <item x="3"/>
        <item x="6"/>
        <item x="5"/>
        <item x="2"/>
        <item x="4"/>
        <item x="0"/>
        <item t="default"/>
      </items>
    </pivotField>
    <pivotField axis="axisRow" showAll="0">
      <items count="22">
        <item sd="0" x="20"/>
        <item sd="0" x="10"/>
        <item sd="0" x="3"/>
        <item sd="0" x="9"/>
        <item sd="0" x="5"/>
        <item sd="0" x="18"/>
        <item sd="0" x="2"/>
        <item sd="0" x="14"/>
        <item sd="0" x="19"/>
        <item sd="0" x="11"/>
        <item sd="0" x="15"/>
        <item sd="0" x="0"/>
        <item sd="0" x="6"/>
        <item sd="0" x="12"/>
        <item sd="0" x="13"/>
        <item sd="0" x="17"/>
        <item sd="0" x="8"/>
        <item sd="0" x="1"/>
        <item sd="0" x="4"/>
        <item sd="0" x="7"/>
        <item sd="0" x="16"/>
        <item t="default"/>
      </items>
    </pivotField>
    <pivotField dataField="1" showAll="0"/>
    <pivotField axis="axisRow" showAll="0">
      <items count="3">
        <item x="1"/>
        <item x="0"/>
        <item t="default"/>
      </items>
    </pivotField>
    <pivotField showAll="0"/>
    <pivotField showAll="0"/>
    <pivotField dataField="1" showAll="0"/>
    <pivotField dataField="1" showAll="0"/>
  </pivotFields>
  <rowFields count="3">
    <field x="1"/>
    <field x="2"/>
    <field x="4"/>
  </rowFields>
  <rowItems count="29">
    <i>
      <x v="4"/>
    </i>
    <i r="1">
      <x v="17"/>
    </i>
    <i>
      <x v="5"/>
    </i>
    <i r="1">
      <x v="4"/>
    </i>
    <i r="1">
      <x v="12"/>
    </i>
    <i r="1">
      <x v="18"/>
    </i>
    <i>
      <x v="6"/>
    </i>
    <i r="1">
      <x v="8"/>
    </i>
    <i>
      <x v="7"/>
    </i>
    <i r="1">
      <x v="15"/>
    </i>
    <i r="1">
      <x v="20"/>
    </i>
    <i>
      <x v="8"/>
    </i>
    <i r="1">
      <x v="1"/>
    </i>
    <i r="1">
      <x v="2"/>
    </i>
    <i r="1">
      <x v="6"/>
    </i>
    <i r="1">
      <x v="7"/>
    </i>
    <i r="1">
      <x v="9"/>
    </i>
    <i r="1">
      <x v="10"/>
    </i>
    <i r="1">
      <x v="13"/>
    </i>
    <i r="1">
      <x v="14"/>
    </i>
    <i>
      <x v="9"/>
    </i>
    <i r="1">
      <x/>
    </i>
    <i r="1">
      <x v="3"/>
    </i>
    <i r="1">
      <x v="5"/>
    </i>
    <i r="1">
      <x v="16"/>
    </i>
    <i r="1">
      <x v="19"/>
    </i>
    <i>
      <x v="10"/>
    </i>
    <i r="1">
      <x v="11"/>
    </i>
    <i t="grand">
      <x/>
    </i>
  </rowItems>
  <colFields count="1">
    <field x="-2"/>
  </colFields>
  <colItems count="3">
    <i>
      <x/>
    </i>
    <i i="1">
      <x v="1"/>
    </i>
    <i i="2">
      <x v="2"/>
    </i>
  </colItems>
  <dataFields count="3">
    <dataField name="Count of FTE" fld="3" subtotal="count" baseField="0" baseItem="0"/>
    <dataField name="Sum of Total Hours" fld="7" baseField="0" baseItem="0" numFmtId="165"/>
    <dataField name="Sum of Total Cost" fld="8" baseField="0" baseItem="0" numFmtId="43"/>
  </dataFields>
  <formats count="4">
    <format dxfId="35">
      <pivotArea field="1" grandRow="1" outline="0" collapsedLevelsAreSubtotals="1" axis="axisRow" fieldPosition="0">
        <references count="1">
          <reference field="4294967294" count="1" selected="0">
            <x v="2"/>
          </reference>
        </references>
      </pivotArea>
    </format>
    <format dxfId="34">
      <pivotArea collapsedLevelsAreSubtotals="1" fieldPosition="0">
        <references count="2">
          <reference field="4294967294" count="1" selected="0">
            <x v="2"/>
          </reference>
          <reference field="1" count="0"/>
        </references>
      </pivotArea>
    </format>
    <format dxfId="33">
      <pivotArea outline="0" collapsedLevelsAreSubtotals="1" fieldPosition="0">
        <references count="1">
          <reference field="4294967294" count="1" selected="0">
            <x v="1"/>
          </reference>
        </references>
      </pivotArea>
    </format>
    <format dxfId="32">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4F381D-A8B7-485E-B376-79AF283F577B}" name="Table2" displayName="Table2" ref="A1:M111" totalsRowCount="1">
  <autoFilter ref="A1:M110" xr:uid="{964F381D-A8B7-485E-B376-79AF283F577B}">
    <filterColumn colId="2">
      <filters>
        <filter val="-"/>
      </filters>
    </filterColumn>
  </autoFilter>
  <tableColumns count="13">
    <tableColumn id="1" xr3:uid="{DD879CF5-AFF5-47EA-B1B6-F9D09D0BA228}" name="STEP"/>
    <tableColumn id="2" xr3:uid="{5D1D4252-FB4F-487E-BD60-D5743B8841B2}" name="Owner"/>
    <tableColumn id="3" xr3:uid="{B77AD85E-78C0-4430-9C52-A60C19C1BDCA}" name="Dept"/>
    <tableColumn id="4" xr3:uid="{E6A5D7C4-EA20-4020-8D95-A6A0D899CC22}" name="System"/>
    <tableColumn id="5" xr3:uid="{2AADFBF8-008B-4F6D-AB87-2D214FAD3E17}" name="TD"/>
    <tableColumn id="6" xr3:uid="{911A2461-094D-4CB2-883A-AE4B85C1322C}" name="Activity"/>
    <tableColumn id="9" xr3:uid="{52E1C90C-6C51-4AE4-99A6-B3265F299937}" name="Hours" dataDxfId="30"/>
    <tableColumn id="12" xr3:uid="{A0CB3301-1658-426D-8017-77EA2DF87E1A}" name="Days" dataDxfId="29" totalsRowDxfId="28"/>
    <tableColumn id="10" xr3:uid="{EED38E4F-2D25-4964-9C85-68E911E0CA0E}" name="Cost [€]" dataDxfId="27" totalsRowDxfId="26"/>
    <tableColumn id="15" xr3:uid="{4E7076EC-8A86-4E48-A352-ADB18FF57DA6}" name="Resources"/>
    <tableColumn id="17" xr3:uid="{144E2143-C04E-4272-AB9C-E2317025ABDC}" name="months"/>
    <tableColumn id="7" xr3:uid="{AA059365-C1E6-4E5D-85A8-2672672D0963}" name="Core"/>
    <tableColumn id="16" xr3:uid="{A47AC78D-6310-4311-9EA5-06B3B7C4008D}" name="Assumptions"/>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ev.azure.com/alstombologna/TMS%20Factory/_workitems/edit/101073" TargetMode="External"/><Relationship Id="rId18" Type="http://schemas.openxmlformats.org/officeDocument/2006/relationships/hyperlink" Target="https://dev.azure.com/alstombologna/TMS%20Factory/_workitems/edit/5845" TargetMode="External"/><Relationship Id="rId26" Type="http://schemas.openxmlformats.org/officeDocument/2006/relationships/hyperlink" Target="https://dev.azure.com/alstombologna/TMS%20Factory/_workitems/edit/101041" TargetMode="External"/><Relationship Id="rId3" Type="http://schemas.openxmlformats.org/officeDocument/2006/relationships/hyperlink" Target="https://dev.azure.com/alstombologna/TMS%20Factory/_workitems/edit/20803" TargetMode="External"/><Relationship Id="rId21" Type="http://schemas.openxmlformats.org/officeDocument/2006/relationships/hyperlink" Target="https://dev.azure.com/alstombologna/TMS%20Factory/_workitems/edit/20807" TargetMode="External"/><Relationship Id="rId34" Type="http://schemas.openxmlformats.org/officeDocument/2006/relationships/printerSettings" Target="../printerSettings/printerSettings4.bin"/><Relationship Id="rId7" Type="http://schemas.openxmlformats.org/officeDocument/2006/relationships/hyperlink" Target="https://dev.azure.com/alstombologna/TMS%20Factory/_workitems/edit/71648" TargetMode="External"/><Relationship Id="rId12" Type="http://schemas.openxmlformats.org/officeDocument/2006/relationships/hyperlink" Target="https://dev.azure.com/alstombologna/TMS%20Factory/_workitems/edit/77213" TargetMode="External"/><Relationship Id="rId17" Type="http://schemas.openxmlformats.org/officeDocument/2006/relationships/hyperlink" Target="https://dev.azure.com/alstombologna/TMS%20Factory/_workitems/edit/66033" TargetMode="External"/><Relationship Id="rId25" Type="http://schemas.openxmlformats.org/officeDocument/2006/relationships/hyperlink" Target="https://dev.azure.com/alstombologna/TMS%20Factory/_workitems/edit/210471" TargetMode="External"/><Relationship Id="rId33" Type="http://schemas.openxmlformats.org/officeDocument/2006/relationships/hyperlink" Target="https://dev.azure.com/alstombologna/TMS%20Factory/_workitems/edit/130487" TargetMode="External"/><Relationship Id="rId2" Type="http://schemas.openxmlformats.org/officeDocument/2006/relationships/hyperlink" Target="https://dev.azure.com/alstombologna/TMS%20Factory/_workitems/edit/101033" TargetMode="External"/><Relationship Id="rId16" Type="http://schemas.openxmlformats.org/officeDocument/2006/relationships/hyperlink" Target="https://dev.azure.com/alstombologna/TMS%20Factory/_workitems/edit/73144" TargetMode="External"/><Relationship Id="rId20" Type="http://schemas.openxmlformats.org/officeDocument/2006/relationships/hyperlink" Target="https://dev.azure.com/alstombologna/TMS%20Factory/_workitems/edit/118781" TargetMode="External"/><Relationship Id="rId29" Type="http://schemas.openxmlformats.org/officeDocument/2006/relationships/hyperlink" Target="https://dev.azure.com/alstombologna/TMS%20Factory/_workitems/edit/73145" TargetMode="External"/><Relationship Id="rId1" Type="http://schemas.openxmlformats.org/officeDocument/2006/relationships/hyperlink" Target="https://dev.azure.com/alstombologna/TMS%20Factory/_workitems/edit/108057" TargetMode="External"/><Relationship Id="rId6" Type="http://schemas.openxmlformats.org/officeDocument/2006/relationships/hyperlink" Target="https://dev.azure.com/alstombologna/TMS%20Factory/_workitems/edit/105133" TargetMode="External"/><Relationship Id="rId11" Type="http://schemas.openxmlformats.org/officeDocument/2006/relationships/hyperlink" Target="https://dev.azure.com/alstombologna/TMS%20Factory/_workitems/edit/101039" TargetMode="External"/><Relationship Id="rId24" Type="http://schemas.openxmlformats.org/officeDocument/2006/relationships/hyperlink" Target="https://dev.azure.com/alstombologna/TMS%20Factory/_workitems/edit/21069" TargetMode="External"/><Relationship Id="rId32" Type="http://schemas.openxmlformats.org/officeDocument/2006/relationships/hyperlink" Target="https://dev.azure.com/alstombologna/TMS%20Factory/_workitems/edit/114894" TargetMode="External"/><Relationship Id="rId5" Type="http://schemas.openxmlformats.org/officeDocument/2006/relationships/hyperlink" Target="https://dev.azure.com/alstombologna/TMS%20Factory/_workitems/edit/20827" TargetMode="External"/><Relationship Id="rId15" Type="http://schemas.openxmlformats.org/officeDocument/2006/relationships/hyperlink" Target="https://dev.azure.com/alstombologna/TMS%20Factory/_workitems/edit/114898" TargetMode="External"/><Relationship Id="rId23" Type="http://schemas.openxmlformats.org/officeDocument/2006/relationships/hyperlink" Target="https://dev.azure.com/alstombologna/TMS%20Factory/_workitems/edit/21068" TargetMode="External"/><Relationship Id="rId28" Type="http://schemas.openxmlformats.org/officeDocument/2006/relationships/hyperlink" Target="https://dev.azure.com/alstombologna/TMS%20Factory/_workitems/edit/119245" TargetMode="External"/><Relationship Id="rId36" Type="http://schemas.openxmlformats.org/officeDocument/2006/relationships/comments" Target="../comments1.xml"/><Relationship Id="rId10" Type="http://schemas.openxmlformats.org/officeDocument/2006/relationships/hyperlink" Target="https://dev.azure.com/alstombologna/TMS%20Factory/_workitems/edit/20822" TargetMode="External"/><Relationship Id="rId19" Type="http://schemas.openxmlformats.org/officeDocument/2006/relationships/hyperlink" Target="https://dev.azure.com/alstombologna/TMS%20Factory/_workitems/edit/100558" TargetMode="External"/><Relationship Id="rId31" Type="http://schemas.openxmlformats.org/officeDocument/2006/relationships/hyperlink" Target="https://dev.azure.com/alstombologna/TMS%20Factory/_workitems/edit/108945" TargetMode="External"/><Relationship Id="rId4" Type="http://schemas.openxmlformats.org/officeDocument/2006/relationships/hyperlink" Target="https://dev.azure.com/alstombologna/TMS%20Factory/_workitems/edit/20836" TargetMode="External"/><Relationship Id="rId9" Type="http://schemas.openxmlformats.org/officeDocument/2006/relationships/hyperlink" Target="https://dev.azure.com/alstombologna/TMS%20Factory/_workitems/edit/20794" TargetMode="External"/><Relationship Id="rId14" Type="http://schemas.openxmlformats.org/officeDocument/2006/relationships/hyperlink" Target="https://dev.azure.com/alstombologna/TMS%20Factory/_workitems/edit/89186" TargetMode="External"/><Relationship Id="rId22" Type="http://schemas.openxmlformats.org/officeDocument/2006/relationships/hyperlink" Target="https://dev.azure.com/alstombologna/TMS%20Factory/_workitems/edit/21063" TargetMode="External"/><Relationship Id="rId27" Type="http://schemas.openxmlformats.org/officeDocument/2006/relationships/hyperlink" Target="https://dev.azure.com/alstombologna/TMS%20Factory/_workitems/edit/20805" TargetMode="External"/><Relationship Id="rId30" Type="http://schemas.openxmlformats.org/officeDocument/2006/relationships/hyperlink" Target="https://dev.azure.com/alstombologna/TMS%20Factory/_workitems/edit/101790" TargetMode="External"/><Relationship Id="rId35" Type="http://schemas.openxmlformats.org/officeDocument/2006/relationships/vmlDrawing" Target="../drawings/vmlDrawing1.vml"/><Relationship Id="rId8" Type="http://schemas.openxmlformats.org/officeDocument/2006/relationships/hyperlink" Target="https://dev.azure.com/alstombologna/TMS%20Factory/_workitems/edit/51270"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dev.azure.com/alstombologna/TMS%20Factory/_workitems/edit/51270" TargetMode="External"/><Relationship Id="rId13" Type="http://schemas.openxmlformats.org/officeDocument/2006/relationships/hyperlink" Target="https://dev.azure.com/alstombologna/TMS%20Factory/_workitems/edit/89186" TargetMode="External"/><Relationship Id="rId18" Type="http://schemas.openxmlformats.org/officeDocument/2006/relationships/hyperlink" Target="https://dev.azure.com/alstombologna/TMS%20Factory/_workitems/edit/77213" TargetMode="External"/><Relationship Id="rId3" Type="http://schemas.openxmlformats.org/officeDocument/2006/relationships/hyperlink" Target="https://dev.azure.com/alstombologna/TMS%20Factory/_workitems/edit/20794" TargetMode="External"/><Relationship Id="rId21" Type="http://schemas.openxmlformats.org/officeDocument/2006/relationships/drawing" Target="../drawings/drawing2.xml"/><Relationship Id="rId7" Type="http://schemas.openxmlformats.org/officeDocument/2006/relationships/hyperlink" Target="https://dev.azure.com/alstombologna/TMS%20Factory/_workitems/edit/130487" TargetMode="External"/><Relationship Id="rId12" Type="http://schemas.openxmlformats.org/officeDocument/2006/relationships/hyperlink" Target="https://dev.azure.com/alstombologna/TMS%20Factory/_workitems/edit/101790" TargetMode="External"/><Relationship Id="rId17" Type="http://schemas.openxmlformats.org/officeDocument/2006/relationships/hyperlink" Target="https://dev.azure.com/alstombologna/TMS%20Factory/_workitems/edit/66033" TargetMode="External"/><Relationship Id="rId2" Type="http://schemas.openxmlformats.org/officeDocument/2006/relationships/hyperlink" Target="https://dev.azure.com/alstombologna/TMS%20Factory/_workitems/edit/20827" TargetMode="External"/><Relationship Id="rId16" Type="http://schemas.openxmlformats.org/officeDocument/2006/relationships/hyperlink" Target="https://dev.azure.com/alstombologna/TMS%20Factory/_workitems/edit/5845" TargetMode="External"/><Relationship Id="rId20" Type="http://schemas.openxmlformats.org/officeDocument/2006/relationships/printerSettings" Target="../printerSettings/printerSettings10.bin"/><Relationship Id="rId1" Type="http://schemas.openxmlformats.org/officeDocument/2006/relationships/hyperlink" Target="https://dev.azure.com/alstombologna/TMS%20Factory/_workitems/edit/118781" TargetMode="External"/><Relationship Id="rId6" Type="http://schemas.openxmlformats.org/officeDocument/2006/relationships/hyperlink" Target="https://dev.azure.com/alstombologna/TMS%20Factory/_workitems/edit/114898" TargetMode="External"/><Relationship Id="rId11" Type="http://schemas.openxmlformats.org/officeDocument/2006/relationships/hyperlink" Target="https://dev.azure.com/alstombologna/TMS%20Factory/_workitems/edit/108945" TargetMode="External"/><Relationship Id="rId5" Type="http://schemas.openxmlformats.org/officeDocument/2006/relationships/hyperlink" Target="https://dev.azure.com/alstombologna/TMS%20Factory/_workitems/edit/101039" TargetMode="External"/><Relationship Id="rId15" Type="http://schemas.openxmlformats.org/officeDocument/2006/relationships/hyperlink" Target="https://dev.azure.com/alstombologna/TMS%20Factory/_workitems/edit/100558" TargetMode="External"/><Relationship Id="rId23" Type="http://schemas.openxmlformats.org/officeDocument/2006/relationships/comments" Target="../comments2.xml"/><Relationship Id="rId10" Type="http://schemas.openxmlformats.org/officeDocument/2006/relationships/hyperlink" Target="https://dev.azure.com/alstombologna/TMS%20Factory/_workitems/edit/114894" TargetMode="External"/><Relationship Id="rId19" Type="http://schemas.openxmlformats.org/officeDocument/2006/relationships/hyperlink" Target="https://dev.azure.com/alstombologna/TMS%20Factory/_workitems/edit/101033" TargetMode="External"/><Relationship Id="rId4" Type="http://schemas.openxmlformats.org/officeDocument/2006/relationships/hyperlink" Target="https://dev.azure.com/alstombologna/TMS%20Factory/_workitems/edit/20822" TargetMode="External"/><Relationship Id="rId9" Type="http://schemas.openxmlformats.org/officeDocument/2006/relationships/hyperlink" Target="https://dev.azure.com/alstombologna/TMS%20Factory/_workitems/edit/73144" TargetMode="External"/><Relationship Id="rId14" Type="http://schemas.openxmlformats.org/officeDocument/2006/relationships/hyperlink" Target="https://dev.azure.com/alstombologna/TMS%20Factory/_workitems/edit/89180" TargetMode="External"/><Relationship Id="rId22"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8" Type="http://schemas.openxmlformats.org/officeDocument/2006/relationships/hyperlink" Target="https://dev.azure.com/alstombologna/TMS%20Factory/_workitems/edit/51270" TargetMode="External"/><Relationship Id="rId13" Type="http://schemas.openxmlformats.org/officeDocument/2006/relationships/hyperlink" Target="https://dev.azure.com/alstombologna/TMS%20Factory/_workitems/edit/89186" TargetMode="External"/><Relationship Id="rId18" Type="http://schemas.openxmlformats.org/officeDocument/2006/relationships/hyperlink" Target="https://dev.azure.com/alstombologna/TMS%20Factory/_workitems/edit/77213" TargetMode="External"/><Relationship Id="rId3" Type="http://schemas.openxmlformats.org/officeDocument/2006/relationships/hyperlink" Target="https://dev.azure.com/alstombologna/TMS%20Factory/_workitems/edit/20794" TargetMode="External"/><Relationship Id="rId21" Type="http://schemas.openxmlformats.org/officeDocument/2006/relationships/drawing" Target="../drawings/drawing3.xml"/><Relationship Id="rId7" Type="http://schemas.openxmlformats.org/officeDocument/2006/relationships/hyperlink" Target="https://dev.azure.com/alstombologna/TMS%20Factory/_workitems/edit/130487" TargetMode="External"/><Relationship Id="rId12" Type="http://schemas.openxmlformats.org/officeDocument/2006/relationships/hyperlink" Target="https://dev.azure.com/alstombologna/TMS%20Factory/_workitems/edit/101790" TargetMode="External"/><Relationship Id="rId17" Type="http://schemas.openxmlformats.org/officeDocument/2006/relationships/hyperlink" Target="https://dev.azure.com/alstombologna/TMS%20Factory/_workitems/edit/66033" TargetMode="External"/><Relationship Id="rId2" Type="http://schemas.openxmlformats.org/officeDocument/2006/relationships/hyperlink" Target="https://dev.azure.com/alstombologna/TMS%20Factory/_workitems/edit/20827" TargetMode="External"/><Relationship Id="rId16" Type="http://schemas.openxmlformats.org/officeDocument/2006/relationships/hyperlink" Target="https://dev.azure.com/alstombologna/TMS%20Factory/_workitems/edit/5845" TargetMode="External"/><Relationship Id="rId20" Type="http://schemas.openxmlformats.org/officeDocument/2006/relationships/printerSettings" Target="../printerSettings/printerSettings11.bin"/><Relationship Id="rId1" Type="http://schemas.openxmlformats.org/officeDocument/2006/relationships/hyperlink" Target="https://dev.azure.com/alstombologna/TMS%20Factory/_workitems/edit/118781" TargetMode="External"/><Relationship Id="rId6" Type="http://schemas.openxmlformats.org/officeDocument/2006/relationships/hyperlink" Target="https://dev.azure.com/alstombologna/TMS%20Factory/_workitems/edit/114898" TargetMode="External"/><Relationship Id="rId11" Type="http://schemas.openxmlformats.org/officeDocument/2006/relationships/hyperlink" Target="https://dev.azure.com/alstombologna/TMS%20Factory/_workitems/edit/108945" TargetMode="External"/><Relationship Id="rId5" Type="http://schemas.openxmlformats.org/officeDocument/2006/relationships/hyperlink" Target="https://dev.azure.com/alstombologna/TMS%20Factory/_workitems/edit/101039" TargetMode="External"/><Relationship Id="rId15" Type="http://schemas.openxmlformats.org/officeDocument/2006/relationships/hyperlink" Target="https://dev.azure.com/alstombologna/TMS%20Factory/_workitems/edit/100558" TargetMode="External"/><Relationship Id="rId23" Type="http://schemas.openxmlformats.org/officeDocument/2006/relationships/comments" Target="../comments3.xml"/><Relationship Id="rId10" Type="http://schemas.openxmlformats.org/officeDocument/2006/relationships/hyperlink" Target="https://dev.azure.com/alstombologna/TMS%20Factory/_workitems/edit/114894" TargetMode="External"/><Relationship Id="rId19" Type="http://schemas.openxmlformats.org/officeDocument/2006/relationships/hyperlink" Target="https://dev.azure.com/alstombologna/TMS%20Factory/_workitems/edit/101033" TargetMode="External"/><Relationship Id="rId4" Type="http://schemas.openxmlformats.org/officeDocument/2006/relationships/hyperlink" Target="https://dev.azure.com/alstombologna/TMS%20Factory/_workitems/edit/20822" TargetMode="External"/><Relationship Id="rId9" Type="http://schemas.openxmlformats.org/officeDocument/2006/relationships/hyperlink" Target="https://dev.azure.com/alstombologna/TMS%20Factory/_workitems/edit/73144" TargetMode="External"/><Relationship Id="rId14" Type="http://schemas.openxmlformats.org/officeDocument/2006/relationships/hyperlink" Target="https://dev.azure.com/alstombologna/TMS%20Factory/_workitems/edit/100558" TargetMode="External"/><Relationship Id="rId22"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D51BE-B09E-4CB0-B0EE-C0F3CD569C23}">
  <sheetPr codeName="Sheet1"/>
  <dimension ref="B1:D31"/>
  <sheetViews>
    <sheetView workbookViewId="0">
      <selection activeCell="C4" sqref="C4"/>
    </sheetView>
  </sheetViews>
  <sheetFormatPr defaultRowHeight="14.5" x14ac:dyDescent="0.35"/>
  <cols>
    <col min="2" max="2" width="16.81640625" customWidth="1"/>
  </cols>
  <sheetData>
    <row r="1" spans="2:4" x14ac:dyDescent="0.35">
      <c r="B1" s="13" t="s">
        <v>144</v>
      </c>
    </row>
    <row r="2" spans="2:4" x14ac:dyDescent="0.35">
      <c r="B2" t="s">
        <v>38</v>
      </c>
      <c r="C2" s="12" t="s">
        <v>145</v>
      </c>
      <c r="D2" s="12" t="s">
        <v>146</v>
      </c>
    </row>
    <row r="3" spans="2:4" x14ac:dyDescent="0.35">
      <c r="B3" t="s">
        <v>147</v>
      </c>
      <c r="C3">
        <v>4</v>
      </c>
      <c r="D3">
        <f>160*C3</f>
        <v>640</v>
      </c>
    </row>
    <row r="4" spans="2:4" x14ac:dyDescent="0.35">
      <c r="B4" t="s">
        <v>148</v>
      </c>
      <c r="C4">
        <v>5</v>
      </c>
      <c r="D4">
        <f t="shared" ref="D4:D13" si="0">160*C4</f>
        <v>800</v>
      </c>
    </row>
    <row r="5" spans="2:4" x14ac:dyDescent="0.35">
      <c r="B5" t="s">
        <v>149</v>
      </c>
      <c r="C5">
        <v>3</v>
      </c>
      <c r="D5">
        <f t="shared" si="0"/>
        <v>480</v>
      </c>
    </row>
    <row r="6" spans="2:4" x14ac:dyDescent="0.35">
      <c r="B6" t="s">
        <v>43</v>
      </c>
      <c r="D6">
        <f t="shared" si="0"/>
        <v>0</v>
      </c>
    </row>
    <row r="7" spans="2:4" x14ac:dyDescent="0.35">
      <c r="B7" t="s">
        <v>147</v>
      </c>
      <c r="C7">
        <v>8</v>
      </c>
      <c r="D7">
        <f t="shared" si="0"/>
        <v>1280</v>
      </c>
    </row>
    <row r="8" spans="2:4" x14ac:dyDescent="0.35">
      <c r="B8" t="s">
        <v>148</v>
      </c>
      <c r="C8">
        <f>11+9</f>
        <v>20</v>
      </c>
      <c r="D8">
        <f t="shared" si="0"/>
        <v>3200</v>
      </c>
    </row>
    <row r="9" spans="2:4" x14ac:dyDescent="0.35">
      <c r="B9" t="s">
        <v>150</v>
      </c>
      <c r="C9">
        <v>8</v>
      </c>
      <c r="D9">
        <f t="shared" si="0"/>
        <v>1280</v>
      </c>
    </row>
    <row r="10" spans="2:4" x14ac:dyDescent="0.35">
      <c r="B10" t="s">
        <v>73</v>
      </c>
      <c r="D10">
        <f t="shared" si="0"/>
        <v>0</v>
      </c>
    </row>
    <row r="11" spans="2:4" x14ac:dyDescent="0.35">
      <c r="B11" t="s">
        <v>147</v>
      </c>
      <c r="C11">
        <v>8</v>
      </c>
      <c r="D11">
        <f t="shared" si="0"/>
        <v>1280</v>
      </c>
    </row>
    <row r="12" spans="2:4" x14ac:dyDescent="0.35">
      <c r="B12" t="s">
        <v>148</v>
      </c>
      <c r="C12">
        <f>29+9</f>
        <v>38</v>
      </c>
      <c r="D12">
        <f t="shared" si="0"/>
        <v>6080</v>
      </c>
    </row>
    <row r="13" spans="2:4" x14ac:dyDescent="0.35">
      <c r="B13" t="s">
        <v>149</v>
      </c>
      <c r="C13">
        <v>8</v>
      </c>
      <c r="D13">
        <f t="shared" si="0"/>
        <v>1280</v>
      </c>
    </row>
    <row r="14" spans="2:4" x14ac:dyDescent="0.35">
      <c r="B14" t="s">
        <v>151</v>
      </c>
      <c r="D14">
        <f>SUM(D3:D13)</f>
        <v>16320</v>
      </c>
    </row>
    <row r="15" spans="2:4" x14ac:dyDescent="0.35">
      <c r="B15" t="s">
        <v>152</v>
      </c>
      <c r="D15">
        <f>D14/40/160</f>
        <v>2.5499999999999998</v>
      </c>
    </row>
    <row r="17" spans="2:4" x14ac:dyDescent="0.35">
      <c r="B17" s="13" t="s">
        <v>153</v>
      </c>
    </row>
    <row r="18" spans="2:4" x14ac:dyDescent="0.35">
      <c r="B18" t="s">
        <v>37</v>
      </c>
      <c r="C18" s="12" t="s">
        <v>145</v>
      </c>
      <c r="D18" s="12" t="s">
        <v>146</v>
      </c>
    </row>
    <row r="19" spans="2:4" x14ac:dyDescent="0.35">
      <c r="B19" t="s">
        <v>147</v>
      </c>
      <c r="C19">
        <v>8</v>
      </c>
      <c r="D19">
        <f>160*C19</f>
        <v>1280</v>
      </c>
    </row>
    <row r="20" spans="2:4" x14ac:dyDescent="0.35">
      <c r="B20" t="s">
        <v>148</v>
      </c>
      <c r="C20">
        <f>11+9</f>
        <v>20</v>
      </c>
      <c r="D20">
        <f t="shared" ref="D20:D29" si="1">160*C20</f>
        <v>3200</v>
      </c>
    </row>
    <row r="21" spans="2:4" x14ac:dyDescent="0.35">
      <c r="B21" t="s">
        <v>149</v>
      </c>
      <c r="C21">
        <f>7+17+5</f>
        <v>29</v>
      </c>
      <c r="D21">
        <f t="shared" si="1"/>
        <v>4640</v>
      </c>
    </row>
    <row r="22" spans="2:4" x14ac:dyDescent="0.35">
      <c r="B22" t="s">
        <v>70</v>
      </c>
      <c r="D22">
        <f t="shared" si="1"/>
        <v>0</v>
      </c>
    </row>
    <row r="23" spans="2:4" x14ac:dyDescent="0.35">
      <c r="B23" t="s">
        <v>147</v>
      </c>
      <c r="C23">
        <v>9</v>
      </c>
      <c r="D23">
        <f t="shared" si="1"/>
        <v>1440</v>
      </c>
    </row>
    <row r="24" spans="2:4" x14ac:dyDescent="0.35">
      <c r="B24" t="s">
        <v>148</v>
      </c>
      <c r="C24">
        <f>21+12</f>
        <v>33</v>
      </c>
      <c r="D24">
        <f t="shared" si="1"/>
        <v>5280</v>
      </c>
    </row>
    <row r="25" spans="2:4" x14ac:dyDescent="0.35">
      <c r="B25" t="s">
        <v>150</v>
      </c>
      <c r="C25">
        <f>12+17</f>
        <v>29</v>
      </c>
      <c r="D25">
        <f t="shared" si="1"/>
        <v>4640</v>
      </c>
    </row>
    <row r="26" spans="2:4" x14ac:dyDescent="0.35">
      <c r="B26" t="s">
        <v>77</v>
      </c>
      <c r="D26">
        <f t="shared" si="1"/>
        <v>0</v>
      </c>
    </row>
    <row r="27" spans="2:4" x14ac:dyDescent="0.35">
      <c r="B27" t="s">
        <v>147</v>
      </c>
      <c r="C27">
        <v>6</v>
      </c>
      <c r="D27">
        <f t="shared" si="1"/>
        <v>960</v>
      </c>
    </row>
    <row r="28" spans="2:4" x14ac:dyDescent="0.35">
      <c r="B28" t="s">
        <v>148</v>
      </c>
      <c r="C28">
        <f>29+9</f>
        <v>38</v>
      </c>
      <c r="D28">
        <f t="shared" si="1"/>
        <v>6080</v>
      </c>
    </row>
    <row r="29" spans="2:4" x14ac:dyDescent="0.35">
      <c r="B29" t="s">
        <v>149</v>
      </c>
      <c r="C29">
        <v>8</v>
      </c>
      <c r="D29">
        <f t="shared" si="1"/>
        <v>1280</v>
      </c>
    </row>
    <row r="30" spans="2:4" x14ac:dyDescent="0.35">
      <c r="B30" t="s">
        <v>151</v>
      </c>
      <c r="D30">
        <f>SUM(D19:D29)</f>
        <v>28800</v>
      </c>
    </row>
    <row r="31" spans="2:4" x14ac:dyDescent="0.35">
      <c r="B31" t="s">
        <v>152</v>
      </c>
      <c r="D31">
        <f>D30/40/160</f>
        <v>4.5</v>
      </c>
    </row>
  </sheetData>
  <pageMargins left="0.7" right="0.7" top="0.75" bottom="0.75" header="0.3" footer="0.3"/>
  <pageSetup orientation="portrait" r:id="rId1"/>
  <headerFooter>
    <oddHeader>&amp;R&amp;"Calibri"&amp;14&amp;K71BF44 RESTRICTED&amp;1#_x000D_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0BE7-014D-41D5-B7D6-1B33BCEF149B}">
  <sheetPr codeName="Sheet3"/>
  <dimension ref="A1:E2"/>
  <sheetViews>
    <sheetView workbookViewId="0">
      <selection sqref="A1:E1"/>
    </sheetView>
  </sheetViews>
  <sheetFormatPr defaultRowHeight="14.5" x14ac:dyDescent="0.35"/>
  <cols>
    <col min="2" max="2" width="25.26953125" customWidth="1"/>
    <col min="3" max="3" width="30.1796875" customWidth="1"/>
    <col min="4" max="4" width="34.1796875" customWidth="1"/>
    <col min="5" max="5" width="56.1796875" customWidth="1"/>
  </cols>
  <sheetData>
    <row r="1" spans="1:5" x14ac:dyDescent="0.35">
      <c r="A1" s="8" t="s">
        <v>154</v>
      </c>
      <c r="B1" s="8" t="s">
        <v>155</v>
      </c>
      <c r="C1" s="8" t="s">
        <v>156</v>
      </c>
      <c r="D1" s="8" t="s">
        <v>157</v>
      </c>
      <c r="E1" s="8" t="s">
        <v>158</v>
      </c>
    </row>
    <row r="2" spans="1:5" x14ac:dyDescent="0.35">
      <c r="A2" s="1" t="s">
        <v>159</v>
      </c>
      <c r="B2" s="5">
        <v>45120</v>
      </c>
      <c r="C2" s="3" t="s">
        <v>187</v>
      </c>
      <c r="D2" s="3" t="s">
        <v>187</v>
      </c>
      <c r="E2" s="1" t="s">
        <v>160</v>
      </c>
    </row>
  </sheetData>
  <phoneticPr fontId="3" type="noConversion"/>
  <pageMargins left="0.7" right="0.7" top="0.75" bottom="0.75" header="0.3" footer="0.3"/>
  <pageSetup orientation="portrait" r:id="rId1"/>
  <headerFooter>
    <oddHeader>&amp;R&amp;"Calibri"&amp;14&amp;K71BF44 RESTRICTED&amp;1#_x000D_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E5A29-B8C2-43A5-BF7E-34F5F4D2E9E9}">
  <sheetPr codeName="Sheet4"/>
  <dimension ref="A1:C6"/>
  <sheetViews>
    <sheetView workbookViewId="0">
      <selection activeCell="C36" sqref="C36"/>
    </sheetView>
  </sheetViews>
  <sheetFormatPr defaultRowHeight="14.5" x14ac:dyDescent="0.35"/>
  <cols>
    <col min="1" max="1" width="5" bestFit="1" customWidth="1"/>
    <col min="2" max="2" width="11.81640625" bestFit="1" customWidth="1"/>
    <col min="3" max="3" width="113.26953125" customWidth="1"/>
  </cols>
  <sheetData>
    <row r="1" spans="1:3" x14ac:dyDescent="0.35">
      <c r="A1" s="8" t="s">
        <v>434</v>
      </c>
      <c r="B1" s="8" t="s">
        <v>245</v>
      </c>
      <c r="C1" s="8" t="s">
        <v>247</v>
      </c>
    </row>
    <row r="2" spans="1:3" x14ac:dyDescent="0.35">
      <c r="A2" s="150">
        <v>1</v>
      </c>
      <c r="B2" s="1"/>
      <c r="C2" s="3" t="s">
        <v>480</v>
      </c>
    </row>
    <row r="3" spans="1:3" x14ac:dyDescent="0.35">
      <c r="A3" s="150">
        <v>2</v>
      </c>
      <c r="B3" s="1"/>
      <c r="C3" s="1" t="s">
        <v>481</v>
      </c>
    </row>
    <row r="4" spans="1:3" x14ac:dyDescent="0.35">
      <c r="A4" s="150">
        <v>3</v>
      </c>
      <c r="B4" s="1"/>
      <c r="C4" s="1" t="s">
        <v>488</v>
      </c>
    </row>
    <row r="5" spans="1:3" x14ac:dyDescent="0.35">
      <c r="A5" s="150">
        <v>4</v>
      </c>
      <c r="B5" s="3"/>
      <c r="C5" s="3"/>
    </row>
    <row r="6" spans="1:3" x14ac:dyDescent="0.35">
      <c r="A6" s="150">
        <v>5</v>
      </c>
      <c r="B6" s="1"/>
      <c r="C6" s="1"/>
    </row>
  </sheetData>
  <pageMargins left="0.7" right="0.7" top="0.75" bottom="0.75" header="0.3" footer="0.3"/>
  <pageSetup orientation="portrait" r:id="rId1"/>
  <headerFooter>
    <oddHeader>&amp;R&amp;"Calibri"&amp;14&amp;K71BF44 RESTRICTED&amp;1#_x000D_</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CBEC-75D5-48CA-9620-7FCDBF488E31}">
  <sheetPr codeName="Sheet6"/>
  <dimension ref="A1:Q104"/>
  <sheetViews>
    <sheetView topLeftCell="A45" zoomScale="60" zoomScaleNormal="60" workbookViewId="0">
      <selection activeCell="A8" sqref="A8"/>
    </sheetView>
  </sheetViews>
  <sheetFormatPr defaultColWidth="19.7265625" defaultRowHeight="14.5" x14ac:dyDescent="0.35"/>
  <cols>
    <col min="1" max="1" width="17.54296875" style="21" bestFit="1" customWidth="1"/>
    <col min="2" max="2" width="22.1796875" style="9" customWidth="1"/>
    <col min="3" max="3" width="38.453125" style="9" bestFit="1" customWidth="1"/>
    <col min="4" max="4" width="11.1796875" style="9" customWidth="1"/>
    <col min="5" max="5" width="12.26953125" style="9" customWidth="1"/>
    <col min="6" max="6" width="18.453125" style="9" bestFit="1" customWidth="1"/>
    <col min="7" max="7" width="35.81640625" style="23" customWidth="1"/>
    <col min="8" max="8" width="12.453125" style="23" hidden="1" customWidth="1"/>
    <col min="9" max="9" width="24.26953125" style="9" customWidth="1"/>
    <col min="10" max="10" width="17.453125" style="9" bestFit="1" customWidth="1"/>
    <col min="11" max="11" width="14" style="9" customWidth="1"/>
    <col min="12" max="12" width="14.1796875" style="9" customWidth="1"/>
    <col min="13" max="15" width="12" style="9" customWidth="1"/>
    <col min="16" max="16" width="58" style="44" customWidth="1"/>
    <col min="17" max="17" width="0" hidden="1" customWidth="1"/>
  </cols>
  <sheetData>
    <row r="1" spans="1:17" ht="44" thickBot="1" x14ac:dyDescent="0.4">
      <c r="A1" s="98" t="s">
        <v>260</v>
      </c>
      <c r="B1" s="99" t="s">
        <v>0</v>
      </c>
      <c r="C1" s="99" t="s">
        <v>1</v>
      </c>
      <c r="D1" s="99" t="s">
        <v>2</v>
      </c>
      <c r="E1" s="99" t="s">
        <v>3</v>
      </c>
      <c r="F1" s="99" t="s">
        <v>4</v>
      </c>
      <c r="G1" s="100" t="s">
        <v>5</v>
      </c>
      <c r="H1" s="95" t="s">
        <v>161</v>
      </c>
      <c r="I1" s="98" t="s">
        <v>6</v>
      </c>
      <c r="J1" s="100" t="s">
        <v>7</v>
      </c>
      <c r="K1" s="56" t="s">
        <v>8</v>
      </c>
      <c r="L1" s="38" t="s">
        <v>9</v>
      </c>
      <c r="M1" s="94" t="s">
        <v>10</v>
      </c>
      <c r="N1" s="101" t="s">
        <v>173</v>
      </c>
      <c r="O1" s="102" t="s">
        <v>174</v>
      </c>
      <c r="P1" s="117" t="s">
        <v>11</v>
      </c>
    </row>
    <row r="2" spans="1:17" ht="87" x14ac:dyDescent="0.35">
      <c r="A2" s="53" t="s">
        <v>40</v>
      </c>
      <c r="B2" s="63" t="s">
        <v>13</v>
      </c>
      <c r="C2" s="63" t="s">
        <v>14</v>
      </c>
      <c r="D2" s="63"/>
      <c r="E2" s="63"/>
      <c r="F2" s="63" t="s">
        <v>16</v>
      </c>
      <c r="G2" s="96" t="s">
        <v>258</v>
      </c>
      <c r="H2" s="93"/>
      <c r="I2" s="64">
        <v>0</v>
      </c>
      <c r="J2" s="64" t="s">
        <v>17</v>
      </c>
      <c r="K2" s="1"/>
      <c r="L2" s="4" t="s">
        <v>17</v>
      </c>
      <c r="M2" s="4" t="b">
        <f>J2=L2</f>
        <v>1</v>
      </c>
      <c r="N2" s="62"/>
      <c r="O2" s="62"/>
      <c r="P2" s="97" t="s">
        <v>306</v>
      </c>
    </row>
    <row r="3" spans="1:17" ht="43.5" x14ac:dyDescent="0.35">
      <c r="A3" s="14" t="s">
        <v>40</v>
      </c>
      <c r="B3" s="15" t="s">
        <v>13</v>
      </c>
      <c r="C3" s="15" t="s">
        <v>18</v>
      </c>
      <c r="D3" s="15"/>
      <c r="E3" s="15"/>
      <c r="F3" s="15" t="s">
        <v>19</v>
      </c>
      <c r="G3" s="93" t="s">
        <v>249</v>
      </c>
      <c r="H3" s="93"/>
      <c r="I3" s="16">
        <v>0</v>
      </c>
      <c r="J3" s="16">
        <v>0</v>
      </c>
      <c r="K3" s="1"/>
      <c r="L3" s="4">
        <v>0</v>
      </c>
      <c r="M3" s="4" t="b">
        <f t="shared" ref="M3:M67" si="0">J3=L3</f>
        <v>1</v>
      </c>
      <c r="N3" s="4"/>
      <c r="O3" s="4"/>
      <c r="P3" s="43" t="s">
        <v>20</v>
      </c>
    </row>
    <row r="4" spans="1:17" ht="43.5" x14ac:dyDescent="0.35">
      <c r="A4" s="14" t="s">
        <v>40</v>
      </c>
      <c r="B4" s="15" t="s">
        <v>13</v>
      </c>
      <c r="C4" s="15" t="s">
        <v>21</v>
      </c>
      <c r="D4" s="15"/>
      <c r="E4" s="15"/>
      <c r="F4" s="15" t="s">
        <v>19</v>
      </c>
      <c r="G4" s="93" t="s">
        <v>250</v>
      </c>
      <c r="H4" s="93"/>
      <c r="I4" s="16">
        <v>0</v>
      </c>
      <c r="J4" s="16">
        <v>0</v>
      </c>
      <c r="K4" s="1"/>
      <c r="L4" s="4">
        <f t="shared" ref="L4:L67" si="1">K4*6</f>
        <v>0</v>
      </c>
      <c r="M4" s="4" t="b">
        <f t="shared" si="0"/>
        <v>1</v>
      </c>
      <c r="N4" s="4"/>
      <c r="O4" s="4"/>
      <c r="P4" s="81" t="s">
        <v>22</v>
      </c>
    </row>
    <row r="5" spans="1:17" ht="409.5" x14ac:dyDescent="0.35">
      <c r="A5" s="14" t="s">
        <v>23</v>
      </c>
      <c r="B5" s="14"/>
      <c r="C5" s="14" t="s">
        <v>24</v>
      </c>
      <c r="D5" s="14"/>
      <c r="E5" s="14"/>
      <c r="F5" s="14" t="s">
        <v>16</v>
      </c>
      <c r="G5" s="27" t="s">
        <v>346</v>
      </c>
      <c r="H5" s="41" t="e">
        <f>+J5/J70</f>
        <v>#VALUE!</v>
      </c>
      <c r="I5" s="10">
        <v>6450</v>
      </c>
      <c r="J5" s="10" t="s">
        <v>17</v>
      </c>
      <c r="K5" s="4"/>
      <c r="L5" s="4" t="s">
        <v>17</v>
      </c>
      <c r="M5" s="4" t="b">
        <f t="shared" si="0"/>
        <v>1</v>
      </c>
      <c r="N5" s="57" t="s">
        <v>15</v>
      </c>
      <c r="O5" s="57" t="s">
        <v>15</v>
      </c>
      <c r="P5" s="81" t="s">
        <v>347</v>
      </c>
    </row>
    <row r="6" spans="1:17" x14ac:dyDescent="0.35">
      <c r="A6" s="15" t="s">
        <v>191</v>
      </c>
      <c r="B6" s="15" t="s">
        <v>25</v>
      </c>
      <c r="C6" s="15" t="s">
        <v>26</v>
      </c>
      <c r="D6" s="15"/>
      <c r="E6" s="15"/>
      <c r="F6" s="15" t="s">
        <v>16</v>
      </c>
      <c r="G6" s="27" t="s">
        <v>304</v>
      </c>
      <c r="H6" s="47">
        <f t="shared" ref="H6:H11" si="2">+J6/$J$70</f>
        <v>0</v>
      </c>
      <c r="I6" s="10" t="s">
        <v>27</v>
      </c>
      <c r="J6" s="10"/>
      <c r="K6" s="4"/>
      <c r="L6" s="4"/>
      <c r="M6" s="4"/>
      <c r="N6" s="57" t="s">
        <v>15</v>
      </c>
      <c r="O6" s="4" t="s">
        <v>59</v>
      </c>
      <c r="P6" s="43" t="s">
        <v>20</v>
      </c>
    </row>
    <row r="7" spans="1:17" ht="87" x14ac:dyDescent="0.35">
      <c r="A7" s="15" t="s">
        <v>191</v>
      </c>
      <c r="B7" s="15" t="s">
        <v>28</v>
      </c>
      <c r="C7" s="15" t="s">
        <v>29</v>
      </c>
      <c r="D7" s="15"/>
      <c r="E7" s="15"/>
      <c r="F7" s="15" t="s">
        <v>16</v>
      </c>
      <c r="G7" s="54" t="s">
        <v>30</v>
      </c>
      <c r="H7" s="47">
        <f t="shared" si="2"/>
        <v>0</v>
      </c>
      <c r="I7" s="10" t="s">
        <v>27</v>
      </c>
      <c r="J7" s="10"/>
      <c r="K7" s="4"/>
      <c r="L7" s="4">
        <f t="shared" si="1"/>
        <v>0</v>
      </c>
      <c r="M7" s="4" t="b">
        <f t="shared" si="0"/>
        <v>1</v>
      </c>
      <c r="N7" s="57" t="s">
        <v>15</v>
      </c>
      <c r="O7" s="57" t="s">
        <v>15</v>
      </c>
      <c r="P7" s="81" t="s">
        <v>22</v>
      </c>
      <c r="Q7" s="42" t="s">
        <v>31</v>
      </c>
    </row>
    <row r="8" spans="1:17" ht="93" customHeight="1" x14ac:dyDescent="0.35">
      <c r="A8" s="14" t="s">
        <v>12</v>
      </c>
      <c r="B8" s="14"/>
      <c r="C8" s="14" t="s">
        <v>308</v>
      </c>
      <c r="D8" s="14"/>
      <c r="E8" s="14"/>
      <c r="F8" s="14" t="s">
        <v>16</v>
      </c>
      <c r="G8" s="27" t="s">
        <v>310</v>
      </c>
      <c r="H8" s="47" t="e">
        <f t="shared" si="2"/>
        <v>#VALUE!</v>
      </c>
      <c r="I8" s="10">
        <v>560</v>
      </c>
      <c r="J8" s="10" t="s">
        <v>17</v>
      </c>
      <c r="K8" s="4"/>
      <c r="L8" s="4" t="s">
        <v>17</v>
      </c>
      <c r="M8" s="4" t="b">
        <f t="shared" si="0"/>
        <v>1</v>
      </c>
      <c r="N8" s="57" t="s">
        <v>15</v>
      </c>
      <c r="O8" s="57" t="s">
        <v>15</v>
      </c>
      <c r="P8" s="43" t="s">
        <v>32</v>
      </c>
      <c r="Q8" s="42" t="s">
        <v>33</v>
      </c>
    </row>
    <row r="9" spans="1:17" ht="29" x14ac:dyDescent="0.35">
      <c r="A9" s="15" t="s">
        <v>191</v>
      </c>
      <c r="B9" s="15"/>
      <c r="C9" s="15" t="s">
        <v>34</v>
      </c>
      <c r="D9" s="15"/>
      <c r="E9" s="15"/>
      <c r="F9" s="15" t="s">
        <v>16</v>
      </c>
      <c r="G9" s="54" t="s">
        <v>30</v>
      </c>
      <c r="H9" s="55" t="e">
        <f t="shared" si="2"/>
        <v>#VALUE!</v>
      </c>
      <c r="I9" s="10" t="s">
        <v>27</v>
      </c>
      <c r="J9" s="10" t="s">
        <v>17</v>
      </c>
      <c r="K9" s="4"/>
      <c r="L9" s="4" t="s">
        <v>17</v>
      </c>
      <c r="M9" s="4" t="b">
        <f t="shared" si="0"/>
        <v>1</v>
      </c>
      <c r="N9" s="57" t="s">
        <v>15</v>
      </c>
      <c r="O9" s="57" t="s">
        <v>15</v>
      </c>
      <c r="P9" s="81" t="s">
        <v>35</v>
      </c>
      <c r="Q9" s="42" t="s">
        <v>36</v>
      </c>
    </row>
    <row r="10" spans="1:17" ht="409.5" x14ac:dyDescent="0.35">
      <c r="A10" s="17" t="s">
        <v>23</v>
      </c>
      <c r="B10" s="10" t="s">
        <v>25</v>
      </c>
      <c r="C10" s="78" t="s">
        <v>251</v>
      </c>
      <c r="D10" s="10">
        <v>108057</v>
      </c>
      <c r="E10" s="10" t="s">
        <v>253</v>
      </c>
      <c r="F10" s="10" t="s">
        <v>167</v>
      </c>
      <c r="G10" s="48" t="s">
        <v>296</v>
      </c>
      <c r="H10" s="47">
        <f t="shared" si="2"/>
        <v>1.5687641624542444E-2</v>
      </c>
      <c r="I10" s="10">
        <f>J10*0.3</f>
        <v>216</v>
      </c>
      <c r="J10" s="10">
        <v>720</v>
      </c>
      <c r="K10" s="4">
        <v>120</v>
      </c>
      <c r="L10" s="4">
        <f t="shared" si="1"/>
        <v>720</v>
      </c>
      <c r="M10" s="4" t="b">
        <f t="shared" si="0"/>
        <v>1</v>
      </c>
      <c r="N10" s="4" t="s">
        <v>59</v>
      </c>
      <c r="O10" s="57" t="s">
        <v>15</v>
      </c>
      <c r="P10" s="81" t="s">
        <v>286</v>
      </c>
    </row>
    <row r="11" spans="1:17" ht="274.5" customHeight="1" x14ac:dyDescent="0.35">
      <c r="A11" s="17" t="s">
        <v>23</v>
      </c>
      <c r="B11" s="10" t="s">
        <v>25</v>
      </c>
      <c r="C11" s="78" t="s">
        <v>388</v>
      </c>
      <c r="D11" s="18">
        <v>101033</v>
      </c>
      <c r="E11" s="10" t="s">
        <v>39</v>
      </c>
      <c r="F11" s="10" t="s">
        <v>167</v>
      </c>
      <c r="G11" s="48" t="s">
        <v>389</v>
      </c>
      <c r="H11" s="47">
        <f t="shared" si="2"/>
        <v>1.1765731218406832E-2</v>
      </c>
      <c r="I11" s="10">
        <v>352</v>
      </c>
      <c r="J11" s="10">
        <v>540</v>
      </c>
      <c r="K11" s="4">
        <v>90</v>
      </c>
      <c r="L11" s="4">
        <f t="shared" si="1"/>
        <v>540</v>
      </c>
      <c r="M11" s="4" t="b">
        <f t="shared" si="0"/>
        <v>1</v>
      </c>
      <c r="N11" s="4" t="s">
        <v>59</v>
      </c>
      <c r="O11" s="57" t="s">
        <v>15</v>
      </c>
      <c r="P11" s="81"/>
    </row>
    <row r="12" spans="1:17" s="7" customFormat="1" x14ac:dyDescent="0.35">
      <c r="A12" s="15" t="s">
        <v>40</v>
      </c>
      <c r="B12" s="15" t="s">
        <v>25</v>
      </c>
      <c r="C12" s="15" t="s">
        <v>41</v>
      </c>
      <c r="D12" s="83"/>
      <c r="E12" s="15"/>
      <c r="F12" s="15" t="s">
        <v>16</v>
      </c>
      <c r="G12" s="29" t="s">
        <v>42</v>
      </c>
      <c r="H12" s="47" t="s">
        <v>166</v>
      </c>
      <c r="I12" s="16"/>
      <c r="J12" s="10" t="s">
        <v>17</v>
      </c>
      <c r="K12" s="6"/>
      <c r="L12" s="4" t="s">
        <v>17</v>
      </c>
      <c r="M12" s="4" t="b">
        <f t="shared" si="0"/>
        <v>1</v>
      </c>
      <c r="N12" s="4"/>
      <c r="O12" s="4"/>
      <c r="P12" s="81"/>
    </row>
    <row r="13" spans="1:17" ht="237" customHeight="1" x14ac:dyDescent="0.35">
      <c r="A13" s="17" t="s">
        <v>23</v>
      </c>
      <c r="B13" s="10" t="s">
        <v>25</v>
      </c>
      <c r="C13" s="78" t="s">
        <v>285</v>
      </c>
      <c r="D13" s="18"/>
      <c r="E13" s="10"/>
      <c r="F13" s="78" t="s">
        <v>252</v>
      </c>
      <c r="G13" s="89" t="s">
        <v>348</v>
      </c>
      <c r="H13" s="47" t="s">
        <v>166</v>
      </c>
      <c r="I13" s="41">
        <v>160</v>
      </c>
      <c r="J13" s="10" t="s">
        <v>17</v>
      </c>
      <c r="K13" s="4"/>
      <c r="L13" s="4" t="s">
        <v>17</v>
      </c>
      <c r="M13" s="4" t="b">
        <f t="shared" si="0"/>
        <v>1</v>
      </c>
      <c r="N13" s="4" t="s">
        <v>15</v>
      </c>
      <c r="O13" s="57" t="s">
        <v>59</v>
      </c>
      <c r="P13" s="81" t="s">
        <v>297</v>
      </c>
    </row>
    <row r="14" spans="1:17" ht="146.15" customHeight="1" x14ac:dyDescent="0.35">
      <c r="A14" s="17" t="s">
        <v>12</v>
      </c>
      <c r="B14" s="10"/>
      <c r="C14" s="78" t="s">
        <v>295</v>
      </c>
      <c r="D14" s="18"/>
      <c r="E14" s="10"/>
      <c r="F14" s="78" t="s">
        <v>252</v>
      </c>
      <c r="G14" s="89" t="s">
        <v>343</v>
      </c>
      <c r="H14" s="47"/>
      <c r="I14" s="78">
        <v>160</v>
      </c>
      <c r="J14" s="10"/>
      <c r="K14" s="4"/>
      <c r="L14" s="4"/>
      <c r="M14" s="4"/>
      <c r="N14" s="4"/>
      <c r="O14" s="57"/>
      <c r="P14" s="81" t="s">
        <v>307</v>
      </c>
    </row>
    <row r="15" spans="1:17" ht="163" customHeight="1" x14ac:dyDescent="0.35">
      <c r="A15" s="230" t="s">
        <v>23</v>
      </c>
      <c r="B15" s="230" t="s">
        <v>25</v>
      </c>
      <c r="C15" s="230" t="s">
        <v>44</v>
      </c>
      <c r="D15" s="19">
        <v>20807</v>
      </c>
      <c r="E15" s="14" t="s">
        <v>45</v>
      </c>
      <c r="F15" s="230" t="s">
        <v>46</v>
      </c>
      <c r="G15" s="240" t="s">
        <v>344</v>
      </c>
      <c r="H15" s="228">
        <f>+J15/$J$70</f>
        <v>7.0855848004183375E-2</v>
      </c>
      <c r="I15" s="241">
        <f>3252</f>
        <v>3252</v>
      </c>
      <c r="J15" s="241">
        <v>3252</v>
      </c>
      <c r="K15" s="229">
        <v>215</v>
      </c>
      <c r="L15" s="229">
        <f t="shared" si="1"/>
        <v>1290</v>
      </c>
      <c r="M15" s="229" t="b">
        <f t="shared" si="0"/>
        <v>0</v>
      </c>
      <c r="N15" s="229" t="s">
        <v>15</v>
      </c>
      <c r="O15" s="244" t="s">
        <v>59</v>
      </c>
      <c r="P15" s="243" t="s">
        <v>301</v>
      </c>
    </row>
    <row r="16" spans="1:17" ht="94" customHeight="1" x14ac:dyDescent="0.35">
      <c r="A16" s="230"/>
      <c r="B16" s="230"/>
      <c r="C16" s="230"/>
      <c r="D16" s="19">
        <v>118781</v>
      </c>
      <c r="E16" s="14" t="s">
        <v>45</v>
      </c>
      <c r="F16" s="230"/>
      <c r="G16" s="240"/>
      <c r="H16" s="228"/>
      <c r="I16" s="241"/>
      <c r="J16" s="241"/>
      <c r="K16" s="229"/>
      <c r="L16" s="229"/>
      <c r="M16" s="229"/>
      <c r="N16" s="229"/>
      <c r="O16" s="244"/>
      <c r="P16" s="243"/>
    </row>
    <row r="17" spans="1:16" ht="29" x14ac:dyDescent="0.35">
      <c r="A17" s="238" t="s">
        <v>23</v>
      </c>
      <c r="B17" s="241" t="s">
        <v>25</v>
      </c>
      <c r="C17" s="241" t="s">
        <v>47</v>
      </c>
      <c r="D17" s="18">
        <v>20805</v>
      </c>
      <c r="E17" s="10" t="s">
        <v>48</v>
      </c>
      <c r="F17" s="241" t="s">
        <v>167</v>
      </c>
      <c r="G17" s="242" t="s">
        <v>176</v>
      </c>
      <c r="H17" s="228">
        <f>+J17/$J$70</f>
        <v>1.8955900296322121E-2</v>
      </c>
      <c r="I17" s="245">
        <f>J17*0.15</f>
        <v>130.5</v>
      </c>
      <c r="J17" s="241">
        <f>480+390</f>
        <v>870</v>
      </c>
      <c r="K17" s="229">
        <f>80+65</f>
        <v>145</v>
      </c>
      <c r="L17" s="229">
        <f t="shared" ref="L17" si="3">K17*6</f>
        <v>870</v>
      </c>
      <c r="M17" s="229" t="b">
        <f t="shared" ref="M17" si="4">J17=L17</f>
        <v>1</v>
      </c>
      <c r="N17" s="244" t="s">
        <v>59</v>
      </c>
      <c r="O17" s="244" t="s">
        <v>15</v>
      </c>
      <c r="P17" s="81" t="s">
        <v>287</v>
      </c>
    </row>
    <row r="18" spans="1:16" ht="33" customHeight="1" x14ac:dyDescent="0.35">
      <c r="A18" s="238"/>
      <c r="B18" s="241"/>
      <c r="C18" s="241"/>
      <c r="D18" s="39">
        <v>20803</v>
      </c>
      <c r="E18" s="10" t="s">
        <v>48</v>
      </c>
      <c r="F18" s="241"/>
      <c r="G18" s="242"/>
      <c r="H18" s="228"/>
      <c r="I18" s="245"/>
      <c r="J18" s="241"/>
      <c r="K18" s="229"/>
      <c r="L18" s="229"/>
      <c r="M18" s="229"/>
      <c r="N18" s="244"/>
      <c r="O18" s="244"/>
      <c r="P18" s="81"/>
    </row>
    <row r="19" spans="1:16" ht="87" x14ac:dyDescent="0.35">
      <c r="A19" s="14" t="s">
        <v>23</v>
      </c>
      <c r="B19" s="14" t="s">
        <v>25</v>
      </c>
      <c r="C19" s="14" t="s">
        <v>49</v>
      </c>
      <c r="D19" s="19">
        <v>20827</v>
      </c>
      <c r="E19" s="14" t="s">
        <v>50</v>
      </c>
      <c r="F19" s="14" t="s">
        <v>46</v>
      </c>
      <c r="G19" s="29" t="s">
        <v>172</v>
      </c>
      <c r="H19" s="47">
        <f>+J19/$J$70</f>
        <v>1.0458427749694962E-2</v>
      </c>
      <c r="I19" s="10">
        <v>480</v>
      </c>
      <c r="J19" s="10">
        <v>480</v>
      </c>
      <c r="K19" s="4">
        <v>80</v>
      </c>
      <c r="L19" s="4">
        <f t="shared" si="1"/>
        <v>480</v>
      </c>
      <c r="M19" s="4" t="b">
        <f t="shared" si="0"/>
        <v>1</v>
      </c>
      <c r="N19" s="4" t="s">
        <v>15</v>
      </c>
      <c r="O19" s="4" t="s">
        <v>59</v>
      </c>
      <c r="P19" s="81" t="s">
        <v>288</v>
      </c>
    </row>
    <row r="20" spans="1:16" ht="37" customHeight="1" x14ac:dyDescent="0.35">
      <c r="A20" s="239" t="s">
        <v>191</v>
      </c>
      <c r="B20" s="246" t="s">
        <v>51</v>
      </c>
      <c r="C20" s="246" t="s">
        <v>52</v>
      </c>
      <c r="D20" s="103">
        <v>101073</v>
      </c>
      <c r="E20" s="246" t="s">
        <v>45</v>
      </c>
      <c r="F20" s="246" t="s">
        <v>40</v>
      </c>
      <c r="G20" s="247" t="s">
        <v>53</v>
      </c>
      <c r="H20" s="228">
        <f>+J20/$J$70</f>
        <v>2.0916855499389923E-2</v>
      </c>
      <c r="I20" s="241">
        <v>0</v>
      </c>
      <c r="J20" s="241">
        <f>480+480</f>
        <v>960</v>
      </c>
      <c r="K20" s="229">
        <v>161</v>
      </c>
      <c r="L20" s="229">
        <f t="shared" si="1"/>
        <v>966</v>
      </c>
      <c r="M20" s="229" t="b">
        <f t="shared" si="0"/>
        <v>0</v>
      </c>
      <c r="N20" s="229" t="s">
        <v>15</v>
      </c>
      <c r="O20" s="229" t="s">
        <v>59</v>
      </c>
      <c r="P20" s="81"/>
    </row>
    <row r="21" spans="1:16" ht="29" x14ac:dyDescent="0.35">
      <c r="A21" s="238"/>
      <c r="B21" s="241"/>
      <c r="C21" s="241"/>
      <c r="D21" s="39">
        <v>119245</v>
      </c>
      <c r="E21" s="241"/>
      <c r="F21" s="241"/>
      <c r="G21" s="248"/>
      <c r="H21" s="228"/>
      <c r="I21" s="241"/>
      <c r="J21" s="241"/>
      <c r="K21" s="229"/>
      <c r="L21" s="229"/>
      <c r="M21" s="229"/>
      <c r="N21" s="229"/>
      <c r="O21" s="229"/>
      <c r="P21" s="81" t="s">
        <v>54</v>
      </c>
    </row>
    <row r="22" spans="1:16" ht="29" x14ac:dyDescent="0.35">
      <c r="A22" s="82" t="s">
        <v>191</v>
      </c>
      <c r="B22" s="16" t="s">
        <v>51</v>
      </c>
      <c r="C22" s="16" t="s">
        <v>55</v>
      </c>
      <c r="D22" s="103">
        <v>105133</v>
      </c>
      <c r="E22" s="16" t="s">
        <v>50</v>
      </c>
      <c r="F22" s="16" t="s">
        <v>40</v>
      </c>
      <c r="G22" s="49" t="s">
        <v>56</v>
      </c>
      <c r="H22" s="47">
        <f>+J22/$J$70</f>
        <v>3.7911800592644242E-2</v>
      </c>
      <c r="I22" s="10">
        <v>0</v>
      </c>
      <c r="J22" s="10">
        <v>1740</v>
      </c>
      <c r="K22" s="4">
        <v>290</v>
      </c>
      <c r="L22" s="4">
        <f t="shared" si="1"/>
        <v>1740</v>
      </c>
      <c r="M22" s="4" t="b">
        <f t="shared" si="0"/>
        <v>1</v>
      </c>
      <c r="N22" s="4" t="s">
        <v>15</v>
      </c>
      <c r="O22" s="4" t="s">
        <v>59</v>
      </c>
      <c r="P22" s="81" t="s">
        <v>57</v>
      </c>
    </row>
    <row r="23" spans="1:16" ht="58" x14ac:dyDescent="0.35">
      <c r="A23" s="17" t="s">
        <v>40</v>
      </c>
      <c r="B23" s="16" t="s">
        <v>58</v>
      </c>
      <c r="C23" s="16">
        <v>65</v>
      </c>
      <c r="D23" s="16"/>
      <c r="E23" s="16"/>
      <c r="F23" s="16" t="s">
        <v>40</v>
      </c>
      <c r="G23" s="48" t="s">
        <v>162</v>
      </c>
      <c r="H23" s="47">
        <f>+J23/$J$70</f>
        <v>0</v>
      </c>
      <c r="I23" s="10">
        <v>0</v>
      </c>
      <c r="J23" s="10">
        <v>0</v>
      </c>
      <c r="K23" s="1"/>
      <c r="L23" s="4">
        <f t="shared" si="1"/>
        <v>0</v>
      </c>
      <c r="M23" s="4" t="b">
        <f t="shared" si="0"/>
        <v>1</v>
      </c>
      <c r="N23" s="4" t="s">
        <v>59</v>
      </c>
      <c r="O23" s="4" t="s">
        <v>15</v>
      </c>
      <c r="P23" s="81"/>
    </row>
    <row r="24" spans="1:16" ht="43.5" x14ac:dyDescent="0.35">
      <c r="A24" s="17" t="s">
        <v>40</v>
      </c>
      <c r="B24" s="16" t="s">
        <v>13</v>
      </c>
      <c r="C24" s="16" t="s">
        <v>60</v>
      </c>
      <c r="D24" s="16"/>
      <c r="E24" s="16"/>
      <c r="F24" s="16" t="s">
        <v>40</v>
      </c>
      <c r="G24" s="48" t="s">
        <v>256</v>
      </c>
      <c r="H24" s="48"/>
      <c r="I24" s="16">
        <v>0</v>
      </c>
      <c r="J24" s="16">
        <v>0</v>
      </c>
      <c r="K24" s="1"/>
      <c r="L24" s="4">
        <f t="shared" si="1"/>
        <v>0</v>
      </c>
      <c r="M24" s="4" t="b">
        <f t="shared" si="0"/>
        <v>1</v>
      </c>
      <c r="N24" s="4"/>
      <c r="O24" s="4"/>
      <c r="P24" s="43"/>
    </row>
    <row r="25" spans="1:16" ht="43.5" x14ac:dyDescent="0.35">
      <c r="A25" s="14" t="s">
        <v>40</v>
      </c>
      <c r="B25" s="15" t="s">
        <v>13</v>
      </c>
      <c r="C25" s="15" t="s">
        <v>61</v>
      </c>
      <c r="D25" s="15"/>
      <c r="E25" s="15"/>
      <c r="F25" s="15" t="s">
        <v>46</v>
      </c>
      <c r="G25" s="93" t="s">
        <v>257</v>
      </c>
      <c r="H25" s="93"/>
      <c r="I25" s="16">
        <v>0</v>
      </c>
      <c r="J25" s="16">
        <v>0</v>
      </c>
      <c r="K25" s="1"/>
      <c r="L25" s="4">
        <f t="shared" si="1"/>
        <v>0</v>
      </c>
      <c r="M25" s="4" t="b">
        <f t="shared" si="0"/>
        <v>1</v>
      </c>
      <c r="N25" s="4"/>
      <c r="O25" s="4"/>
      <c r="P25" s="43"/>
    </row>
    <row r="26" spans="1:16" ht="36.65" customHeight="1" x14ac:dyDescent="0.35">
      <c r="A26" s="225" t="s">
        <v>12</v>
      </c>
      <c r="B26" s="230" t="s">
        <v>62</v>
      </c>
      <c r="C26" s="237" t="s">
        <v>63</v>
      </c>
      <c r="D26" s="19">
        <v>77213</v>
      </c>
      <c r="E26" s="230" t="s">
        <v>64</v>
      </c>
      <c r="F26" s="230" t="s">
        <v>46</v>
      </c>
      <c r="G26" s="240" t="s">
        <v>349</v>
      </c>
      <c r="H26" s="228">
        <f>+J26/$J$70</f>
        <v>4.3228168032072509E-2</v>
      </c>
      <c r="I26" s="241">
        <v>1984</v>
      </c>
      <c r="J26" s="241">
        <f>1018+966</f>
        <v>1984</v>
      </c>
      <c r="K26" s="229">
        <v>161</v>
      </c>
      <c r="L26" s="229">
        <f t="shared" si="1"/>
        <v>966</v>
      </c>
      <c r="M26" s="229" t="b">
        <f t="shared" si="0"/>
        <v>0</v>
      </c>
      <c r="N26" s="229" t="s">
        <v>15</v>
      </c>
      <c r="O26" s="229" t="s">
        <v>59</v>
      </c>
      <c r="P26" s="81" t="s">
        <v>305</v>
      </c>
    </row>
    <row r="27" spans="1:16" ht="23.15" customHeight="1" x14ac:dyDescent="0.35">
      <c r="A27" s="226"/>
      <c r="B27" s="230"/>
      <c r="C27" s="237"/>
      <c r="D27" s="19">
        <v>66033</v>
      </c>
      <c r="E27" s="230"/>
      <c r="F27" s="230"/>
      <c r="G27" s="240"/>
      <c r="H27" s="228"/>
      <c r="I27" s="241"/>
      <c r="J27" s="241"/>
      <c r="K27" s="229"/>
      <c r="L27" s="229"/>
      <c r="M27" s="229"/>
      <c r="N27" s="229"/>
      <c r="O27" s="229"/>
      <c r="P27" s="81"/>
    </row>
    <row r="28" spans="1:16" ht="27" customHeight="1" x14ac:dyDescent="0.35">
      <c r="A28" s="226"/>
      <c r="B28" s="230"/>
      <c r="C28" s="237"/>
      <c r="D28" s="19">
        <v>5845</v>
      </c>
      <c r="E28" s="230"/>
      <c r="F28" s="230"/>
      <c r="G28" s="240"/>
      <c r="H28" s="228"/>
      <c r="I28" s="241"/>
      <c r="J28" s="241"/>
      <c r="K28" s="229"/>
      <c r="L28" s="229"/>
      <c r="M28" s="229"/>
      <c r="N28" s="229"/>
      <c r="O28" s="229"/>
      <c r="P28" s="81"/>
    </row>
    <row r="29" spans="1:16" ht="29.5" customHeight="1" x14ac:dyDescent="0.35">
      <c r="A29" s="227"/>
      <c r="B29" s="230"/>
      <c r="C29" s="237"/>
      <c r="D29" s="19">
        <v>100558</v>
      </c>
      <c r="E29" s="230"/>
      <c r="F29" s="230"/>
      <c r="G29" s="240"/>
      <c r="H29" s="228"/>
      <c r="I29" s="241"/>
      <c r="J29" s="241"/>
      <c r="K29" s="229"/>
      <c r="L29" s="229"/>
      <c r="M29" s="229"/>
      <c r="N29" s="229"/>
      <c r="O29" s="229"/>
      <c r="P29" s="81"/>
    </row>
    <row r="30" spans="1:16" ht="43.5" x14ac:dyDescent="0.35">
      <c r="A30" s="14" t="s">
        <v>12</v>
      </c>
      <c r="B30" s="14" t="s">
        <v>62</v>
      </c>
      <c r="C30" s="14" t="s">
        <v>65</v>
      </c>
      <c r="D30" s="19">
        <v>89180</v>
      </c>
      <c r="E30" s="14" t="s">
        <v>64</v>
      </c>
      <c r="F30" s="14" t="s">
        <v>46</v>
      </c>
      <c r="G30" s="28" t="s">
        <v>350</v>
      </c>
      <c r="H30" s="47">
        <f>+J30/$J$70</f>
        <v>2.104758584626111E-2</v>
      </c>
      <c r="I30" s="10">
        <v>966</v>
      </c>
      <c r="J30" s="10">
        <v>966</v>
      </c>
      <c r="K30" s="4">
        <v>161</v>
      </c>
      <c r="L30" s="4">
        <f t="shared" si="1"/>
        <v>966</v>
      </c>
      <c r="M30" s="4" t="b">
        <f t="shared" si="0"/>
        <v>1</v>
      </c>
      <c r="N30" s="4" t="s">
        <v>15</v>
      </c>
      <c r="O30" s="4" t="s">
        <v>59</v>
      </c>
      <c r="P30" s="81" t="s">
        <v>66</v>
      </c>
    </row>
    <row r="31" spans="1:16" ht="28.5" customHeight="1" x14ac:dyDescent="0.35">
      <c r="A31" s="230" t="s">
        <v>12</v>
      </c>
      <c r="B31" s="230" t="s">
        <v>62</v>
      </c>
      <c r="C31" s="237" t="s">
        <v>67</v>
      </c>
      <c r="D31" s="79">
        <v>89186</v>
      </c>
      <c r="E31" s="14" t="s">
        <v>64</v>
      </c>
      <c r="F31" s="225" t="s">
        <v>46</v>
      </c>
      <c r="G31" s="222" t="s">
        <v>261</v>
      </c>
      <c r="H31" s="47">
        <f>+J31/$J$70</f>
        <v>7.6215792225902038E-2</v>
      </c>
      <c r="I31" s="231">
        <f>966+966+966+600</f>
        <v>3498</v>
      </c>
      <c r="J31" s="231">
        <f>966+966+966+600</f>
        <v>3498</v>
      </c>
      <c r="K31" s="4">
        <v>161</v>
      </c>
      <c r="L31" s="4">
        <f t="shared" si="1"/>
        <v>966</v>
      </c>
      <c r="M31" s="4" t="b">
        <f t="shared" si="0"/>
        <v>0</v>
      </c>
      <c r="N31" s="234" t="s">
        <v>15</v>
      </c>
      <c r="O31" s="234" t="s">
        <v>59</v>
      </c>
      <c r="P31" s="219" t="s">
        <v>68</v>
      </c>
    </row>
    <row r="32" spans="1:16" x14ac:dyDescent="0.35">
      <c r="A32" s="230"/>
      <c r="B32" s="230"/>
      <c r="C32" s="237"/>
      <c r="D32" s="40">
        <v>101790</v>
      </c>
      <c r="E32" s="14" t="s">
        <v>45</v>
      </c>
      <c r="F32" s="226"/>
      <c r="G32" s="223"/>
      <c r="H32" s="29"/>
      <c r="I32" s="232"/>
      <c r="J32" s="232"/>
      <c r="K32" s="10"/>
      <c r="L32" s="10"/>
      <c r="M32" s="10"/>
      <c r="N32" s="235"/>
      <c r="O32" s="235"/>
      <c r="P32" s="220"/>
    </row>
    <row r="33" spans="1:16" x14ac:dyDescent="0.35">
      <c r="A33" s="230"/>
      <c r="B33" s="230"/>
      <c r="C33" s="237"/>
      <c r="D33" s="40">
        <v>108945</v>
      </c>
      <c r="E33" s="14" t="s">
        <v>75</v>
      </c>
      <c r="F33" s="226"/>
      <c r="G33" s="223"/>
      <c r="H33" s="228">
        <f>+J33/$J$70</f>
        <v>0</v>
      </c>
      <c r="I33" s="232"/>
      <c r="J33" s="232"/>
      <c r="K33" s="229">
        <f>161+100</f>
        <v>261</v>
      </c>
      <c r="L33" s="229">
        <f t="shared" ref="L33" si="5">K33*6</f>
        <v>1566</v>
      </c>
      <c r="M33" s="229" t="b">
        <f>J33=L33</f>
        <v>0</v>
      </c>
      <c r="N33" s="235"/>
      <c r="O33" s="235"/>
      <c r="P33" s="220"/>
    </row>
    <row r="34" spans="1:16" x14ac:dyDescent="0.35">
      <c r="A34" s="230"/>
      <c r="B34" s="230"/>
      <c r="C34" s="237"/>
      <c r="D34" s="40">
        <v>114894</v>
      </c>
      <c r="E34" s="14" t="s">
        <v>50</v>
      </c>
      <c r="F34" s="227"/>
      <c r="G34" s="224"/>
      <c r="H34" s="228"/>
      <c r="I34" s="233"/>
      <c r="J34" s="233"/>
      <c r="K34" s="229"/>
      <c r="L34" s="229"/>
      <c r="M34" s="229"/>
      <c r="N34" s="236"/>
      <c r="O34" s="236"/>
      <c r="P34" s="221"/>
    </row>
    <row r="35" spans="1:16" ht="20.5" customHeight="1" x14ac:dyDescent="0.35">
      <c r="A35" s="16" t="s">
        <v>191</v>
      </c>
      <c r="B35" s="16" t="s">
        <v>25</v>
      </c>
      <c r="C35" s="16" t="s">
        <v>71</v>
      </c>
      <c r="D35" s="16">
        <v>20836</v>
      </c>
      <c r="E35" s="16" t="s">
        <v>50</v>
      </c>
      <c r="F35" s="16" t="s">
        <v>167</v>
      </c>
      <c r="G35" s="49" t="s">
        <v>168</v>
      </c>
      <c r="H35" s="47">
        <f t="shared" ref="H35:H58" si="6">+J35/$J$70</f>
        <v>2.104758584626111E-2</v>
      </c>
      <c r="I35" s="10">
        <f>J35*0.15</f>
        <v>144.9</v>
      </c>
      <c r="J35" s="10">
        <v>966</v>
      </c>
      <c r="K35" s="4">
        <v>161</v>
      </c>
      <c r="L35" s="4">
        <f t="shared" si="1"/>
        <v>966</v>
      </c>
      <c r="M35" s="4" t="b">
        <f t="shared" si="0"/>
        <v>1</v>
      </c>
      <c r="N35" s="4" t="s">
        <v>15</v>
      </c>
      <c r="O35" s="4" t="s">
        <v>59</v>
      </c>
      <c r="P35" s="81" t="s">
        <v>72</v>
      </c>
    </row>
    <row r="36" spans="1:16" ht="26.15" customHeight="1" x14ac:dyDescent="0.35">
      <c r="A36" s="14" t="s">
        <v>12</v>
      </c>
      <c r="B36" s="14" t="s">
        <v>25</v>
      </c>
      <c r="C36" s="14" t="s">
        <v>74</v>
      </c>
      <c r="D36" s="19">
        <v>20794</v>
      </c>
      <c r="E36" s="14" t="s">
        <v>50</v>
      </c>
      <c r="F36" s="14" t="s">
        <v>46</v>
      </c>
      <c r="G36" s="29"/>
      <c r="H36" s="47">
        <f t="shared" si="6"/>
        <v>4.2095171692522221E-2</v>
      </c>
      <c r="I36" s="10">
        <f>966*2</f>
        <v>1932</v>
      </c>
      <c r="J36" s="10">
        <v>1932</v>
      </c>
      <c r="K36" s="84">
        <f>161+161</f>
        <v>322</v>
      </c>
      <c r="L36" s="4">
        <f t="shared" si="1"/>
        <v>1932</v>
      </c>
      <c r="M36" s="4" t="b">
        <f t="shared" si="0"/>
        <v>1</v>
      </c>
      <c r="N36" s="4" t="s">
        <v>15</v>
      </c>
      <c r="O36" s="4" t="s">
        <v>59</v>
      </c>
      <c r="P36" s="81" t="s">
        <v>299</v>
      </c>
    </row>
    <row r="37" spans="1:16" ht="43.5" x14ac:dyDescent="0.35">
      <c r="A37" s="14" t="s">
        <v>12</v>
      </c>
      <c r="B37" s="14" t="s">
        <v>25</v>
      </c>
      <c r="C37" s="14" t="s">
        <v>188</v>
      </c>
      <c r="D37" s="19">
        <v>20822</v>
      </c>
      <c r="E37" s="14" t="s">
        <v>75</v>
      </c>
      <c r="F37" s="14" t="s">
        <v>46</v>
      </c>
      <c r="G37" s="29"/>
      <c r="H37" s="47">
        <f t="shared" si="6"/>
        <v>2.7453372842949277E-2</v>
      </c>
      <c r="I37" s="10">
        <f>1260</f>
        <v>1260</v>
      </c>
      <c r="J37" s="10">
        <v>1260</v>
      </c>
      <c r="K37" s="4">
        <v>420</v>
      </c>
      <c r="L37" s="4">
        <f t="shared" si="1"/>
        <v>2520</v>
      </c>
      <c r="M37" s="4" t="b">
        <f t="shared" si="0"/>
        <v>0</v>
      </c>
      <c r="N37" s="4" t="s">
        <v>15</v>
      </c>
      <c r="O37" s="4" t="s">
        <v>59</v>
      </c>
      <c r="P37" s="81" t="s">
        <v>300</v>
      </c>
    </row>
    <row r="38" spans="1:16" x14ac:dyDescent="0.35">
      <c r="A38" s="15" t="s">
        <v>191</v>
      </c>
      <c r="B38" s="15" t="s">
        <v>25</v>
      </c>
      <c r="C38" s="15" t="s">
        <v>189</v>
      </c>
      <c r="D38" s="83"/>
      <c r="E38" s="15"/>
      <c r="F38" s="15" t="s">
        <v>46</v>
      </c>
      <c r="G38" s="104"/>
      <c r="H38" s="47">
        <f t="shared" si="6"/>
        <v>2.7453372842949277E-2</v>
      </c>
      <c r="I38" s="10">
        <v>1260</v>
      </c>
      <c r="J38" s="10">
        <v>1260</v>
      </c>
      <c r="K38" s="4"/>
      <c r="L38" s="4"/>
      <c r="M38" s="4"/>
      <c r="N38" s="4"/>
      <c r="O38" s="4"/>
      <c r="P38" s="81"/>
    </row>
    <row r="39" spans="1:16" ht="44.15" customHeight="1" x14ac:dyDescent="0.35">
      <c r="A39" s="14" t="s">
        <v>12</v>
      </c>
      <c r="B39" s="14" t="s">
        <v>25</v>
      </c>
      <c r="C39" s="14" t="s">
        <v>76</v>
      </c>
      <c r="D39" s="19">
        <v>101039</v>
      </c>
      <c r="E39" s="14"/>
      <c r="F39" s="14" t="s">
        <v>46</v>
      </c>
      <c r="G39" s="28" t="s">
        <v>298</v>
      </c>
      <c r="H39" s="47">
        <f t="shared" si="6"/>
        <v>1.2027191912149206E-2</v>
      </c>
      <c r="I39" s="10">
        <v>552</v>
      </c>
      <c r="J39" s="10">
        <v>552</v>
      </c>
      <c r="K39" s="4">
        <v>92</v>
      </c>
      <c r="L39" s="4">
        <f t="shared" si="1"/>
        <v>552</v>
      </c>
      <c r="M39" s="4" t="b">
        <f t="shared" si="0"/>
        <v>1</v>
      </c>
      <c r="N39" s="4" t="s">
        <v>15</v>
      </c>
      <c r="O39" s="4" t="s">
        <v>59</v>
      </c>
      <c r="P39" s="123" t="s">
        <v>354</v>
      </c>
    </row>
    <row r="40" spans="1:16" ht="43.5" x14ac:dyDescent="0.35">
      <c r="A40" s="16" t="s">
        <v>191</v>
      </c>
      <c r="B40" s="16" t="s">
        <v>25</v>
      </c>
      <c r="C40" s="16" t="s">
        <v>78</v>
      </c>
      <c r="D40" s="16"/>
      <c r="E40" s="16"/>
      <c r="F40" s="16" t="s">
        <v>40</v>
      </c>
      <c r="G40" s="48" t="s">
        <v>177</v>
      </c>
      <c r="H40" s="47">
        <f t="shared" si="6"/>
        <v>2.3531462436813665E-2</v>
      </c>
      <c r="I40" s="10">
        <v>0</v>
      </c>
      <c r="J40" s="10">
        <v>1080</v>
      </c>
      <c r="K40" s="4">
        <v>180</v>
      </c>
      <c r="L40" s="4">
        <f t="shared" si="1"/>
        <v>1080</v>
      </c>
      <c r="M40" s="4" t="b">
        <f t="shared" si="0"/>
        <v>1</v>
      </c>
      <c r="N40" s="4" t="s">
        <v>59</v>
      </c>
      <c r="O40" s="4" t="s">
        <v>15</v>
      </c>
      <c r="P40" s="81" t="s">
        <v>79</v>
      </c>
    </row>
    <row r="41" spans="1:16" ht="29" x14ac:dyDescent="0.35">
      <c r="A41" s="16" t="s">
        <v>191</v>
      </c>
      <c r="B41" s="16" t="s">
        <v>25</v>
      </c>
      <c r="C41" s="16" t="s">
        <v>80</v>
      </c>
      <c r="D41" s="16"/>
      <c r="E41" s="16"/>
      <c r="F41" s="16" t="s">
        <v>40</v>
      </c>
      <c r="G41" s="49"/>
      <c r="H41" s="47">
        <f t="shared" si="6"/>
        <v>2.104758584626111E-2</v>
      </c>
      <c r="I41" s="10">
        <v>0</v>
      </c>
      <c r="J41" s="10">
        <v>966</v>
      </c>
      <c r="K41" s="4">
        <v>161</v>
      </c>
      <c r="L41" s="4">
        <f t="shared" si="1"/>
        <v>966</v>
      </c>
      <c r="M41" s="4" t="b">
        <f t="shared" si="0"/>
        <v>1</v>
      </c>
      <c r="N41" s="4" t="s">
        <v>15</v>
      </c>
      <c r="O41" s="4" t="s">
        <v>59</v>
      </c>
      <c r="P41" s="81" t="s">
        <v>81</v>
      </c>
    </row>
    <row r="42" spans="1:16" ht="29" x14ac:dyDescent="0.35">
      <c r="A42" s="16" t="s">
        <v>191</v>
      </c>
      <c r="B42" s="16" t="s">
        <v>25</v>
      </c>
      <c r="C42" s="16" t="s">
        <v>82</v>
      </c>
      <c r="D42" s="16"/>
      <c r="E42" s="16"/>
      <c r="F42" s="16" t="s">
        <v>40</v>
      </c>
      <c r="G42" s="48" t="s">
        <v>83</v>
      </c>
      <c r="H42" s="47">
        <f t="shared" si="6"/>
        <v>8.4974725466271574E-3</v>
      </c>
      <c r="I42" s="10">
        <v>0</v>
      </c>
      <c r="J42" s="10">
        <v>390</v>
      </c>
      <c r="K42" s="4"/>
      <c r="L42" s="4">
        <f t="shared" si="1"/>
        <v>0</v>
      </c>
      <c r="M42" s="4" t="b">
        <f t="shared" si="0"/>
        <v>0</v>
      </c>
      <c r="N42" s="4" t="s">
        <v>59</v>
      </c>
      <c r="O42" s="4" t="s">
        <v>15</v>
      </c>
      <c r="P42" s="85" t="s">
        <v>69</v>
      </c>
    </row>
    <row r="43" spans="1:16" ht="29" x14ac:dyDescent="0.35">
      <c r="A43" s="16" t="s">
        <v>191</v>
      </c>
      <c r="B43" s="16" t="s">
        <v>25</v>
      </c>
      <c r="C43" s="16" t="s">
        <v>84</v>
      </c>
      <c r="D43" s="16"/>
      <c r="E43" s="16"/>
      <c r="F43" s="16" t="s">
        <v>40</v>
      </c>
      <c r="G43" s="48" t="s">
        <v>85</v>
      </c>
      <c r="H43" s="47">
        <f t="shared" si="6"/>
        <v>8.4974725466271574E-3</v>
      </c>
      <c r="I43" s="10">
        <v>0</v>
      </c>
      <c r="J43" s="10">
        <v>390</v>
      </c>
      <c r="K43" s="4">
        <v>65</v>
      </c>
      <c r="L43" s="4">
        <f t="shared" si="1"/>
        <v>390</v>
      </c>
      <c r="M43" s="4" t="b">
        <f t="shared" si="0"/>
        <v>1</v>
      </c>
      <c r="N43" s="4" t="s">
        <v>15</v>
      </c>
      <c r="O43" s="4" t="s">
        <v>15</v>
      </c>
      <c r="P43" s="81" t="s">
        <v>86</v>
      </c>
    </row>
    <row r="44" spans="1:16" ht="29" x14ac:dyDescent="0.35">
      <c r="A44" s="16" t="s">
        <v>191</v>
      </c>
      <c r="B44" s="16" t="s">
        <v>25</v>
      </c>
      <c r="C44" s="16" t="s">
        <v>87</v>
      </c>
      <c r="D44" s="16"/>
      <c r="E44" s="16"/>
      <c r="F44" s="16" t="s">
        <v>40</v>
      </c>
      <c r="G44" s="48" t="s">
        <v>83</v>
      </c>
      <c r="H44" s="47">
        <f t="shared" si="6"/>
        <v>2.104758584626111E-2</v>
      </c>
      <c r="I44" s="10">
        <v>0</v>
      </c>
      <c r="J44" s="10">
        <v>966</v>
      </c>
      <c r="K44" s="4">
        <v>161</v>
      </c>
      <c r="L44" s="4">
        <f t="shared" si="1"/>
        <v>966</v>
      </c>
      <c r="M44" s="4" t="b">
        <f t="shared" si="0"/>
        <v>1</v>
      </c>
      <c r="N44" s="4" t="s">
        <v>59</v>
      </c>
      <c r="O44" s="4" t="s">
        <v>15</v>
      </c>
      <c r="P44" s="85" t="s">
        <v>69</v>
      </c>
    </row>
    <row r="45" spans="1:16" ht="162" customHeight="1" x14ac:dyDescent="0.35">
      <c r="A45" s="10" t="s">
        <v>12</v>
      </c>
      <c r="B45" s="10" t="s">
        <v>25</v>
      </c>
      <c r="C45" s="10" t="s">
        <v>88</v>
      </c>
      <c r="D45" s="86">
        <v>73145</v>
      </c>
      <c r="E45" s="10"/>
      <c r="F45" s="34" t="s">
        <v>167</v>
      </c>
      <c r="G45" s="30" t="s">
        <v>309</v>
      </c>
      <c r="H45" s="47">
        <f t="shared" si="6"/>
        <v>5.2292138748474812E-2</v>
      </c>
      <c r="I45" s="52">
        <v>0</v>
      </c>
      <c r="J45" s="10">
        <v>2400</v>
      </c>
      <c r="K45" s="4">
        <v>400</v>
      </c>
      <c r="L45" s="4">
        <f t="shared" si="1"/>
        <v>2400</v>
      </c>
      <c r="M45" s="4" t="b">
        <f t="shared" si="0"/>
        <v>1</v>
      </c>
      <c r="N45" s="57" t="s">
        <v>15</v>
      </c>
      <c r="O45" s="57" t="s">
        <v>15</v>
      </c>
      <c r="P45" s="87" t="s">
        <v>89</v>
      </c>
    </row>
    <row r="46" spans="1:16" ht="47.5" customHeight="1" x14ac:dyDescent="0.35">
      <c r="A46" s="80" t="s">
        <v>12</v>
      </c>
      <c r="B46" s="14" t="s">
        <v>51</v>
      </c>
      <c r="C46" s="14" t="s">
        <v>90</v>
      </c>
      <c r="D46" s="19">
        <v>114898</v>
      </c>
      <c r="E46" s="14"/>
      <c r="F46" s="14" t="s">
        <v>46</v>
      </c>
      <c r="G46" s="29"/>
      <c r="H46" s="47">
        <f t="shared" si="6"/>
        <v>1.3073034687118703E-2</v>
      </c>
      <c r="I46" s="10">
        <v>600</v>
      </c>
      <c r="J46" s="10">
        <v>600</v>
      </c>
      <c r="K46" s="4">
        <v>100</v>
      </c>
      <c r="L46" s="4">
        <f t="shared" si="1"/>
        <v>600</v>
      </c>
      <c r="M46" s="4" t="b">
        <f t="shared" si="0"/>
        <v>1</v>
      </c>
      <c r="N46" s="4" t="s">
        <v>15</v>
      </c>
      <c r="O46" s="4" t="s">
        <v>59</v>
      </c>
      <c r="P46" s="81" t="s">
        <v>303</v>
      </c>
    </row>
    <row r="47" spans="1:16" ht="29" x14ac:dyDescent="0.35">
      <c r="A47" s="16" t="s">
        <v>191</v>
      </c>
      <c r="B47" s="16" t="s">
        <v>51</v>
      </c>
      <c r="C47" s="16" t="s">
        <v>91</v>
      </c>
      <c r="D47" s="105" t="s">
        <v>75</v>
      </c>
      <c r="E47" s="105"/>
      <c r="F47" s="16" t="s">
        <v>40</v>
      </c>
      <c r="G47" s="49" t="s">
        <v>92</v>
      </c>
      <c r="H47" s="47">
        <f t="shared" si="6"/>
        <v>1.3073034687118703E-2</v>
      </c>
      <c r="I47" s="10">
        <v>0</v>
      </c>
      <c r="J47" s="10">
        <v>600</v>
      </c>
      <c r="K47" s="4">
        <v>0</v>
      </c>
      <c r="L47" s="4">
        <f t="shared" si="1"/>
        <v>0</v>
      </c>
      <c r="M47" s="4" t="b">
        <f t="shared" si="0"/>
        <v>0</v>
      </c>
      <c r="N47" s="4" t="s">
        <v>15</v>
      </c>
      <c r="O47" s="4" t="s">
        <v>59</v>
      </c>
      <c r="P47" s="81" t="s">
        <v>93</v>
      </c>
    </row>
    <row r="48" spans="1:16" ht="49.5" customHeight="1" x14ac:dyDescent="0.35">
      <c r="A48" s="115" t="s">
        <v>40</v>
      </c>
      <c r="B48" s="16" t="s">
        <v>51</v>
      </c>
      <c r="C48" s="16" t="s">
        <v>94</v>
      </c>
      <c r="D48" s="20">
        <v>21063</v>
      </c>
      <c r="E48" s="16"/>
      <c r="F48" s="16" t="s">
        <v>40</v>
      </c>
      <c r="G48" s="48" t="s">
        <v>291</v>
      </c>
      <c r="H48" s="47">
        <f t="shared" si="6"/>
        <v>9.543315321596654E-3</v>
      </c>
      <c r="I48" s="10">
        <v>0</v>
      </c>
      <c r="J48" s="10">
        <v>438</v>
      </c>
      <c r="K48" s="4">
        <v>73</v>
      </c>
      <c r="L48" s="4">
        <f t="shared" si="1"/>
        <v>438</v>
      </c>
      <c r="M48" s="4" t="b">
        <f t="shared" si="0"/>
        <v>1</v>
      </c>
      <c r="N48" s="4" t="s">
        <v>59</v>
      </c>
      <c r="O48" s="4" t="s">
        <v>15</v>
      </c>
      <c r="P48" s="81" t="s">
        <v>95</v>
      </c>
    </row>
    <row r="49" spans="1:16" ht="29" x14ac:dyDescent="0.35">
      <c r="A49" s="115" t="s">
        <v>40</v>
      </c>
      <c r="B49" s="16" t="s">
        <v>51</v>
      </c>
      <c r="C49" s="16" t="s">
        <v>96</v>
      </c>
      <c r="D49" s="20">
        <v>21068</v>
      </c>
      <c r="E49" s="10"/>
      <c r="F49" s="16" t="s">
        <v>40</v>
      </c>
      <c r="G49" s="48" t="s">
        <v>290</v>
      </c>
      <c r="H49" s="47">
        <f t="shared" si="6"/>
        <v>4.2225902039393408E-2</v>
      </c>
      <c r="I49" s="10">
        <v>0</v>
      </c>
      <c r="J49" s="10">
        <v>1938</v>
      </c>
      <c r="K49" s="4">
        <v>323</v>
      </c>
      <c r="L49" s="4">
        <f t="shared" si="1"/>
        <v>1938</v>
      </c>
      <c r="M49" s="4" t="b">
        <f t="shared" si="0"/>
        <v>1</v>
      </c>
      <c r="N49" s="4" t="s">
        <v>59</v>
      </c>
      <c r="O49" s="4" t="s">
        <v>15</v>
      </c>
      <c r="P49" s="81" t="s">
        <v>97</v>
      </c>
    </row>
    <row r="50" spans="1:16" ht="58" x14ac:dyDescent="0.35">
      <c r="A50" s="115" t="s">
        <v>40</v>
      </c>
      <c r="B50" s="16" t="s">
        <v>51</v>
      </c>
      <c r="C50" s="16" t="s">
        <v>98</v>
      </c>
      <c r="D50" s="20">
        <v>21069</v>
      </c>
      <c r="E50" s="10"/>
      <c r="F50" s="16" t="s">
        <v>40</v>
      </c>
      <c r="G50" s="48" t="s">
        <v>289</v>
      </c>
      <c r="H50" s="47">
        <f t="shared" si="6"/>
        <v>3.7911800592644242E-2</v>
      </c>
      <c r="I50" s="10">
        <v>0</v>
      </c>
      <c r="J50" s="10">
        <v>1740</v>
      </c>
      <c r="K50" s="4">
        <v>290</v>
      </c>
      <c r="L50" s="4">
        <f t="shared" si="1"/>
        <v>1740</v>
      </c>
      <c r="M50" s="4" t="b">
        <f t="shared" si="0"/>
        <v>1</v>
      </c>
      <c r="N50" s="4" t="s">
        <v>59</v>
      </c>
      <c r="O50" s="4" t="s">
        <v>15</v>
      </c>
      <c r="P50" s="81" t="s">
        <v>99</v>
      </c>
    </row>
    <row r="51" spans="1:16" ht="29" x14ac:dyDescent="0.35">
      <c r="A51" s="115" t="s">
        <v>40</v>
      </c>
      <c r="B51" s="16" t="s">
        <v>51</v>
      </c>
      <c r="C51" s="16" t="s">
        <v>100</v>
      </c>
      <c r="D51" s="20">
        <v>21071</v>
      </c>
      <c r="E51" s="10"/>
      <c r="F51" s="16" t="s">
        <v>40</v>
      </c>
      <c r="G51" s="48" t="s">
        <v>83</v>
      </c>
      <c r="H51" s="47">
        <f t="shared" si="6"/>
        <v>4.2225902039393408E-2</v>
      </c>
      <c r="I51" s="10">
        <v>0</v>
      </c>
      <c r="J51" s="10">
        <v>1938</v>
      </c>
      <c r="K51" s="4">
        <v>323</v>
      </c>
      <c r="L51" s="4">
        <f t="shared" si="1"/>
        <v>1938</v>
      </c>
      <c r="M51" s="4" t="b">
        <f t="shared" si="0"/>
        <v>1</v>
      </c>
      <c r="N51" s="4" t="s">
        <v>59</v>
      </c>
      <c r="O51" s="4" t="s">
        <v>15</v>
      </c>
      <c r="P51" s="81" t="s">
        <v>101</v>
      </c>
    </row>
    <row r="52" spans="1:16" ht="72.5" x14ac:dyDescent="0.35">
      <c r="A52" s="115" t="s">
        <v>40</v>
      </c>
      <c r="B52" s="16" t="s">
        <v>51</v>
      </c>
      <c r="C52" s="16" t="s">
        <v>102</v>
      </c>
      <c r="D52" s="10"/>
      <c r="E52" s="10"/>
      <c r="F52" s="16" t="s">
        <v>40</v>
      </c>
      <c r="G52" s="48" t="s">
        <v>292</v>
      </c>
      <c r="H52" s="47">
        <f t="shared" si="6"/>
        <v>1.3073034687118703E-2</v>
      </c>
      <c r="I52" s="10">
        <v>0</v>
      </c>
      <c r="J52" s="10">
        <v>600</v>
      </c>
      <c r="K52" s="4">
        <v>0</v>
      </c>
      <c r="L52" s="4">
        <f t="shared" si="1"/>
        <v>0</v>
      </c>
      <c r="M52" s="4" t="b">
        <f t="shared" si="0"/>
        <v>0</v>
      </c>
      <c r="N52" s="4" t="s">
        <v>59</v>
      </c>
      <c r="O52" s="4" t="s">
        <v>15</v>
      </c>
      <c r="P52" s="81" t="s">
        <v>103</v>
      </c>
    </row>
    <row r="53" spans="1:16" ht="29" x14ac:dyDescent="0.35">
      <c r="A53" s="115" t="s">
        <v>40</v>
      </c>
      <c r="B53" s="16" t="s">
        <v>51</v>
      </c>
      <c r="C53" s="16" t="s">
        <v>104</v>
      </c>
      <c r="D53" s="91">
        <v>44393</v>
      </c>
      <c r="E53" s="90"/>
      <c r="F53" s="16" t="s">
        <v>40</v>
      </c>
      <c r="G53" s="48" t="s">
        <v>293</v>
      </c>
      <c r="H53" s="47">
        <f t="shared" si="6"/>
        <v>2.104758584626111E-2</v>
      </c>
      <c r="I53" s="10">
        <v>0</v>
      </c>
      <c r="J53" s="10">
        <v>966</v>
      </c>
      <c r="K53" s="84">
        <v>161</v>
      </c>
      <c r="L53" s="4">
        <f t="shared" si="1"/>
        <v>966</v>
      </c>
      <c r="M53" s="4" t="b">
        <f t="shared" si="0"/>
        <v>1</v>
      </c>
      <c r="N53" s="4" t="s">
        <v>59</v>
      </c>
      <c r="O53" s="4" t="s">
        <v>15</v>
      </c>
      <c r="P53" s="81" t="s">
        <v>105</v>
      </c>
    </row>
    <row r="54" spans="1:16" ht="29" x14ac:dyDescent="0.35">
      <c r="A54" s="16" t="s">
        <v>191</v>
      </c>
      <c r="B54" s="16" t="s">
        <v>51</v>
      </c>
      <c r="C54" s="16" t="s">
        <v>106</v>
      </c>
      <c r="D54" s="106">
        <v>21072</v>
      </c>
      <c r="E54" s="105"/>
      <c r="F54" s="16" t="s">
        <v>40</v>
      </c>
      <c r="G54" s="49" t="s">
        <v>107</v>
      </c>
      <c r="H54" s="47">
        <f t="shared" si="6"/>
        <v>3.7911800592644242E-2</v>
      </c>
      <c r="I54" s="10">
        <v>0</v>
      </c>
      <c r="J54" s="10">
        <v>1740</v>
      </c>
      <c r="K54" s="84">
        <v>290</v>
      </c>
      <c r="L54" s="4">
        <f t="shared" si="1"/>
        <v>1740</v>
      </c>
      <c r="M54" s="4" t="b">
        <f t="shared" si="0"/>
        <v>1</v>
      </c>
      <c r="N54" s="4" t="s">
        <v>59</v>
      </c>
      <c r="O54" s="4" t="s">
        <v>15</v>
      </c>
      <c r="P54" s="81" t="s">
        <v>108</v>
      </c>
    </row>
    <row r="55" spans="1:16" ht="29" x14ac:dyDescent="0.35">
      <c r="A55" s="115" t="s">
        <v>40</v>
      </c>
      <c r="B55" s="16" t="s">
        <v>51</v>
      </c>
      <c r="C55" s="16" t="s">
        <v>109</v>
      </c>
      <c r="D55" s="90">
        <v>21062</v>
      </c>
      <c r="E55" s="90"/>
      <c r="F55" s="16" t="s">
        <v>40</v>
      </c>
      <c r="G55" s="48" t="s">
        <v>294</v>
      </c>
      <c r="H55" s="47">
        <f t="shared" si="6"/>
        <v>4.2225902039393408E-2</v>
      </c>
      <c r="I55" s="10">
        <v>0</v>
      </c>
      <c r="J55" s="10">
        <v>1938</v>
      </c>
      <c r="K55" s="84">
        <v>323</v>
      </c>
      <c r="L55" s="4">
        <f t="shared" si="1"/>
        <v>1938</v>
      </c>
      <c r="M55" s="4" t="b">
        <f t="shared" si="0"/>
        <v>1</v>
      </c>
      <c r="N55" s="4" t="s">
        <v>59</v>
      </c>
      <c r="O55" s="4" t="s">
        <v>15</v>
      </c>
      <c r="P55" s="81" t="s">
        <v>110</v>
      </c>
    </row>
    <row r="56" spans="1:16" ht="58" x14ac:dyDescent="0.35">
      <c r="A56" s="82" t="s">
        <v>191</v>
      </c>
      <c r="B56" s="16" t="s">
        <v>25</v>
      </c>
      <c r="C56" s="16" t="s">
        <v>111</v>
      </c>
      <c r="D56" s="106">
        <v>101041</v>
      </c>
      <c r="E56" s="105"/>
      <c r="F56" s="16" t="s">
        <v>40</v>
      </c>
      <c r="G56" s="48" t="s">
        <v>112</v>
      </c>
      <c r="H56" s="47">
        <f t="shared" si="6"/>
        <v>2.104758584626111E-2</v>
      </c>
      <c r="I56" s="10">
        <v>0</v>
      </c>
      <c r="J56" s="10">
        <v>966</v>
      </c>
      <c r="K56" s="4">
        <v>161</v>
      </c>
      <c r="L56" s="4">
        <f t="shared" si="1"/>
        <v>966</v>
      </c>
      <c r="M56" s="4" t="b">
        <f t="shared" si="0"/>
        <v>1</v>
      </c>
      <c r="N56" s="4" t="s">
        <v>59</v>
      </c>
      <c r="O56" s="4" t="s">
        <v>15</v>
      </c>
      <c r="P56" s="81" t="s">
        <v>113</v>
      </c>
    </row>
    <row r="57" spans="1:16" ht="29" x14ac:dyDescent="0.35">
      <c r="A57" s="82" t="s">
        <v>191</v>
      </c>
      <c r="B57" s="16" t="s">
        <v>28</v>
      </c>
      <c r="C57" s="16" t="s">
        <v>114</v>
      </c>
      <c r="D57" s="106">
        <v>71648</v>
      </c>
      <c r="E57" s="105"/>
      <c r="F57" s="16" t="s">
        <v>40</v>
      </c>
      <c r="G57" s="49"/>
      <c r="H57" s="47">
        <f t="shared" si="6"/>
        <v>1.0589158096566149E-2</v>
      </c>
      <c r="I57" s="10">
        <v>0</v>
      </c>
      <c r="J57" s="10">
        <v>486</v>
      </c>
      <c r="K57" s="4">
        <v>81</v>
      </c>
      <c r="L57" s="4">
        <f t="shared" si="1"/>
        <v>486</v>
      </c>
      <c r="M57" s="4" t="b">
        <f t="shared" si="0"/>
        <v>1</v>
      </c>
      <c r="N57" s="4" t="s">
        <v>15</v>
      </c>
      <c r="O57" s="4" t="s">
        <v>59</v>
      </c>
      <c r="P57" s="81" t="s">
        <v>115</v>
      </c>
    </row>
    <row r="58" spans="1:16" x14ac:dyDescent="0.35">
      <c r="A58" s="80" t="s">
        <v>12</v>
      </c>
      <c r="B58" s="14" t="s">
        <v>28</v>
      </c>
      <c r="C58" s="14" t="s">
        <v>116</v>
      </c>
      <c r="D58" s="19">
        <v>51270</v>
      </c>
      <c r="E58" s="14"/>
      <c r="F58" s="14" t="s">
        <v>46</v>
      </c>
      <c r="G58" s="29"/>
      <c r="H58" s="47">
        <f t="shared" si="6"/>
        <v>1.4118877462088199E-2</v>
      </c>
      <c r="I58" s="10">
        <v>648</v>
      </c>
      <c r="J58" s="10">
        <v>648</v>
      </c>
      <c r="K58" s="4"/>
      <c r="L58" s="4">
        <f t="shared" si="1"/>
        <v>0</v>
      </c>
      <c r="M58" s="4" t="b">
        <f t="shared" si="0"/>
        <v>0</v>
      </c>
      <c r="N58" s="4" t="s">
        <v>15</v>
      </c>
      <c r="O58" s="4" t="s">
        <v>59</v>
      </c>
      <c r="P58" s="85" t="s">
        <v>69</v>
      </c>
    </row>
    <row r="59" spans="1:16" x14ac:dyDescent="0.35">
      <c r="A59" s="107" t="s">
        <v>191</v>
      </c>
      <c r="B59" s="15" t="s">
        <v>28</v>
      </c>
      <c r="C59" s="15" t="s">
        <v>117</v>
      </c>
      <c r="D59" s="83"/>
      <c r="E59" s="15"/>
      <c r="F59" s="15" t="s">
        <v>16</v>
      </c>
      <c r="G59" s="104" t="s">
        <v>259</v>
      </c>
      <c r="H59" s="47" t="s">
        <v>166</v>
      </c>
      <c r="I59" s="11" t="s">
        <v>27</v>
      </c>
      <c r="J59" s="10" t="s">
        <v>17</v>
      </c>
      <c r="K59" s="4"/>
      <c r="L59" s="4">
        <f t="shared" si="1"/>
        <v>0</v>
      </c>
      <c r="M59" s="4" t="b">
        <f t="shared" si="0"/>
        <v>0</v>
      </c>
      <c r="N59" s="4" t="s">
        <v>15</v>
      </c>
      <c r="O59" s="4" t="s">
        <v>59</v>
      </c>
      <c r="P59" s="85" t="s">
        <v>69</v>
      </c>
    </row>
    <row r="60" spans="1:16" ht="87" x14ac:dyDescent="0.35">
      <c r="A60" s="17" t="s">
        <v>40</v>
      </c>
      <c r="B60" s="16" t="s">
        <v>58</v>
      </c>
      <c r="C60" s="16" t="s">
        <v>118</v>
      </c>
      <c r="D60" s="10"/>
      <c r="E60" s="10"/>
      <c r="F60" s="16" t="s">
        <v>40</v>
      </c>
      <c r="G60" s="48" t="s">
        <v>163</v>
      </c>
      <c r="H60" s="47">
        <f>+J60/$J$70</f>
        <v>0</v>
      </c>
      <c r="I60" s="10">
        <v>0</v>
      </c>
      <c r="J60" s="10">
        <v>0</v>
      </c>
      <c r="K60" s="1"/>
      <c r="L60" s="4">
        <f t="shared" si="1"/>
        <v>0</v>
      </c>
      <c r="M60" s="4" t="b">
        <f t="shared" si="0"/>
        <v>1</v>
      </c>
      <c r="N60" s="4" t="s">
        <v>59</v>
      </c>
      <c r="O60" s="4" t="s">
        <v>15</v>
      </c>
      <c r="P60" s="81"/>
    </row>
    <row r="61" spans="1:16" ht="72.5" x14ac:dyDescent="0.35">
      <c r="A61" s="17" t="s">
        <v>40</v>
      </c>
      <c r="B61" s="16" t="s">
        <v>58</v>
      </c>
      <c r="C61" s="16" t="s">
        <v>119</v>
      </c>
      <c r="D61" s="10"/>
      <c r="E61" s="10"/>
      <c r="F61" s="16" t="s">
        <v>40</v>
      </c>
      <c r="G61" s="48" t="s">
        <v>164</v>
      </c>
      <c r="H61" s="47">
        <f>+J61/$J$70</f>
        <v>0</v>
      </c>
      <c r="I61" s="10">
        <v>0</v>
      </c>
      <c r="J61" s="10">
        <v>0</v>
      </c>
      <c r="K61" s="1"/>
      <c r="L61" s="4">
        <f t="shared" si="1"/>
        <v>0</v>
      </c>
      <c r="M61" s="4" t="b">
        <f t="shared" si="0"/>
        <v>1</v>
      </c>
      <c r="N61" s="4" t="s">
        <v>59</v>
      </c>
      <c r="O61" s="4" t="s">
        <v>15</v>
      </c>
      <c r="P61" s="81"/>
    </row>
    <row r="62" spans="1:16" ht="87" x14ac:dyDescent="0.35">
      <c r="A62" s="17" t="s">
        <v>40</v>
      </c>
      <c r="B62" s="16" t="s">
        <v>58</v>
      </c>
      <c r="C62" s="16" t="s">
        <v>88</v>
      </c>
      <c r="D62" s="10"/>
      <c r="E62" s="10"/>
      <c r="F62" s="16" t="s">
        <v>40</v>
      </c>
      <c r="G62" s="48" t="s">
        <v>165</v>
      </c>
      <c r="H62" s="47">
        <f>+J62/$J$70</f>
        <v>0</v>
      </c>
      <c r="I62" s="10">
        <v>0</v>
      </c>
      <c r="J62" s="10">
        <v>0</v>
      </c>
      <c r="K62" s="1"/>
      <c r="L62" s="4">
        <f t="shared" si="1"/>
        <v>0</v>
      </c>
      <c r="M62" s="4" t="b">
        <f t="shared" si="0"/>
        <v>1</v>
      </c>
      <c r="N62" s="4" t="s">
        <v>59</v>
      </c>
      <c r="O62" s="4" t="s">
        <v>175</v>
      </c>
      <c r="P62" s="81"/>
    </row>
    <row r="63" spans="1:16" ht="43.5" x14ac:dyDescent="0.35">
      <c r="A63" s="92" t="s">
        <v>40</v>
      </c>
      <c r="B63" s="15" t="s">
        <v>13</v>
      </c>
      <c r="C63" s="15" t="s">
        <v>120</v>
      </c>
      <c r="D63" s="15"/>
      <c r="E63" s="15"/>
      <c r="F63" s="15" t="s">
        <v>46</v>
      </c>
      <c r="G63" s="93" t="s">
        <v>254</v>
      </c>
      <c r="H63" s="93"/>
      <c r="I63" s="16">
        <v>0</v>
      </c>
      <c r="J63" s="16">
        <v>0</v>
      </c>
      <c r="K63" s="1"/>
      <c r="L63" s="4">
        <f t="shared" si="1"/>
        <v>0</v>
      </c>
      <c r="M63" s="4" t="b">
        <f t="shared" si="0"/>
        <v>1</v>
      </c>
      <c r="N63" s="4"/>
      <c r="O63" s="4"/>
      <c r="P63" s="43"/>
    </row>
    <row r="64" spans="1:16" ht="43.5" x14ac:dyDescent="0.35">
      <c r="A64" s="92" t="s">
        <v>40</v>
      </c>
      <c r="B64" s="15" t="s">
        <v>13</v>
      </c>
      <c r="C64" s="15" t="s">
        <v>121</v>
      </c>
      <c r="D64" s="15"/>
      <c r="E64" s="15"/>
      <c r="F64" s="15" t="s">
        <v>46</v>
      </c>
      <c r="G64" s="93" t="s">
        <v>255</v>
      </c>
      <c r="H64" s="93"/>
      <c r="I64" s="16">
        <v>0</v>
      </c>
      <c r="J64" s="16">
        <v>0</v>
      </c>
      <c r="K64" s="1"/>
      <c r="L64" s="4">
        <f t="shared" si="1"/>
        <v>0</v>
      </c>
      <c r="M64" s="4" t="b">
        <f t="shared" si="0"/>
        <v>1</v>
      </c>
      <c r="N64" s="4"/>
      <c r="O64" s="4"/>
      <c r="P64" s="43" t="s">
        <v>122</v>
      </c>
    </row>
    <row r="65" spans="1:16" ht="43.5" x14ac:dyDescent="0.35">
      <c r="A65" s="14" t="s">
        <v>12</v>
      </c>
      <c r="B65" s="14" t="s">
        <v>62</v>
      </c>
      <c r="C65" s="14" t="s">
        <v>123</v>
      </c>
      <c r="D65" s="14"/>
      <c r="E65" s="14"/>
      <c r="F65" s="14" t="s">
        <v>46</v>
      </c>
      <c r="G65" s="28" t="s">
        <v>124</v>
      </c>
      <c r="H65" s="47">
        <f>+J65/$J$70</f>
        <v>3.4861425832316542E-3</v>
      </c>
      <c r="I65" s="11">
        <v>160</v>
      </c>
      <c r="J65" s="11">
        <v>160</v>
      </c>
      <c r="K65" s="4"/>
      <c r="L65" s="4">
        <f t="shared" si="1"/>
        <v>0</v>
      </c>
      <c r="M65" s="4" t="b">
        <f t="shared" si="0"/>
        <v>0</v>
      </c>
      <c r="N65" s="4" t="s">
        <v>15</v>
      </c>
      <c r="O65" s="4" t="s">
        <v>59</v>
      </c>
      <c r="P65" s="81"/>
    </row>
    <row r="66" spans="1:16" ht="116.5" customHeight="1" x14ac:dyDescent="0.35">
      <c r="A66" s="14" t="s">
        <v>12</v>
      </c>
      <c r="B66" s="14" t="s">
        <v>62</v>
      </c>
      <c r="C66" s="14" t="s">
        <v>125</v>
      </c>
      <c r="D66" s="19">
        <v>73144</v>
      </c>
      <c r="E66" s="14"/>
      <c r="F66" s="14" t="s">
        <v>167</v>
      </c>
      <c r="G66" s="28" t="s">
        <v>345</v>
      </c>
      <c r="H66" s="47">
        <f>+J66/$J$70</f>
        <v>6.5365173435593518E-2</v>
      </c>
      <c r="I66" s="10">
        <v>900</v>
      </c>
      <c r="J66" s="10">
        <v>3000</v>
      </c>
      <c r="K66" s="4">
        <v>500</v>
      </c>
      <c r="L66" s="4">
        <f t="shared" si="1"/>
        <v>3000</v>
      </c>
      <c r="M66" s="4" t="b">
        <v>1</v>
      </c>
      <c r="N66" s="4" t="s">
        <v>15</v>
      </c>
      <c r="O66" s="4" t="s">
        <v>59</v>
      </c>
      <c r="P66" s="81"/>
    </row>
    <row r="67" spans="1:16" ht="15" customHeight="1" x14ac:dyDescent="0.35">
      <c r="A67" s="15" t="s">
        <v>191</v>
      </c>
      <c r="B67" s="15" t="s">
        <v>25</v>
      </c>
      <c r="C67" s="15" t="s">
        <v>126</v>
      </c>
      <c r="D67" s="15"/>
      <c r="E67" s="15"/>
      <c r="F67" s="15" t="s">
        <v>46</v>
      </c>
      <c r="G67" s="104"/>
      <c r="H67" s="47">
        <f>+J67/$J$70</f>
        <v>2.104758584626111E-2</v>
      </c>
      <c r="I67" s="10">
        <v>0</v>
      </c>
      <c r="J67" s="10">
        <v>966</v>
      </c>
      <c r="K67" s="88">
        <f>161+65+97+97</f>
        <v>420</v>
      </c>
      <c r="L67" s="4">
        <f t="shared" si="1"/>
        <v>2520</v>
      </c>
      <c r="M67" s="4" t="b">
        <f t="shared" si="0"/>
        <v>0</v>
      </c>
      <c r="N67" s="4" t="s">
        <v>15</v>
      </c>
      <c r="O67" s="4" t="s">
        <v>15</v>
      </c>
      <c r="P67" s="81" t="s">
        <v>127</v>
      </c>
    </row>
    <row r="68" spans="1:16" ht="21" customHeight="1" x14ac:dyDescent="0.35">
      <c r="A68" s="82" t="s">
        <v>191</v>
      </c>
      <c r="B68" s="16"/>
      <c r="C68" s="48" t="s">
        <v>276</v>
      </c>
      <c r="D68" s="10"/>
      <c r="E68" s="10"/>
      <c r="F68" s="16"/>
      <c r="G68" s="48"/>
      <c r="H68" s="47">
        <f>+J68/$J$70</f>
        <v>8.7153564580791359E-3</v>
      </c>
      <c r="I68" s="10">
        <v>0</v>
      </c>
      <c r="J68" s="10">
        <v>400</v>
      </c>
      <c r="K68" s="88"/>
      <c r="L68" s="4"/>
      <c r="M68" s="4"/>
      <c r="N68" s="4"/>
      <c r="O68" s="4"/>
      <c r="P68" s="81"/>
    </row>
    <row r="69" spans="1:16" ht="47.15" customHeight="1" x14ac:dyDescent="0.35">
      <c r="A69" s="112" t="s">
        <v>12</v>
      </c>
      <c r="B69" s="14"/>
      <c r="C69" s="27" t="s">
        <v>275</v>
      </c>
      <c r="D69" s="118">
        <v>130487</v>
      </c>
      <c r="E69" s="14"/>
      <c r="F69" s="14"/>
      <c r="G69" s="113" t="s">
        <v>281</v>
      </c>
      <c r="H69" s="47">
        <f>+J69/$J$70</f>
        <v>4.3576782290395679E-3</v>
      </c>
      <c r="I69" s="11">
        <v>200</v>
      </c>
      <c r="J69" s="10">
        <v>200</v>
      </c>
      <c r="K69" s="88"/>
      <c r="L69" s="4"/>
      <c r="M69" s="4"/>
      <c r="N69" s="4"/>
      <c r="O69" s="4"/>
      <c r="P69" s="81" t="s">
        <v>302</v>
      </c>
    </row>
    <row r="70" spans="1:16" x14ac:dyDescent="0.35">
      <c r="B70" s="21"/>
      <c r="C70" s="21"/>
      <c r="D70" s="21"/>
      <c r="E70" s="21"/>
      <c r="G70" s="31" t="s">
        <v>128</v>
      </c>
      <c r="H70" s="45"/>
      <c r="I70" s="21">
        <f>SUM(I2:I67)</f>
        <v>25665.4</v>
      </c>
      <c r="J70" s="22">
        <f>SUM(J2:J67)</f>
        <v>45896</v>
      </c>
      <c r="K70" s="37"/>
      <c r="P70" s="42"/>
    </row>
    <row r="71" spans="1:16" x14ac:dyDescent="0.35">
      <c r="B71" s="21"/>
      <c r="C71" s="21"/>
      <c r="D71" s="21"/>
      <c r="E71" s="21"/>
      <c r="F71" s="21"/>
      <c r="G71" s="31" t="s">
        <v>129</v>
      </c>
      <c r="H71" s="45"/>
      <c r="I71" s="21">
        <v>4</v>
      </c>
      <c r="J71" s="22">
        <f>J70/40/160</f>
        <v>7.1712500000000006</v>
      </c>
      <c r="P71" s="42"/>
    </row>
    <row r="72" spans="1:16" ht="15" thickBot="1" x14ac:dyDescent="0.4">
      <c r="B72" s="21"/>
      <c r="C72" s="21"/>
      <c r="D72" s="21"/>
      <c r="E72" s="21"/>
      <c r="F72" s="21"/>
      <c r="G72" s="32" t="s">
        <v>130</v>
      </c>
      <c r="H72" s="46"/>
      <c r="I72" s="50">
        <f>(I70-J70)/J70</f>
        <v>-0.44079222590203937</v>
      </c>
      <c r="J72" s="33"/>
      <c r="P72" s="42"/>
    </row>
    <row r="73" spans="1:16" ht="29" x14ac:dyDescent="0.35">
      <c r="A73" s="58"/>
      <c r="B73" s="59" t="s">
        <v>131</v>
      </c>
      <c r="C73" s="60"/>
      <c r="P73" s="42"/>
    </row>
    <row r="74" spans="1:16" x14ac:dyDescent="0.35">
      <c r="A74" s="58"/>
      <c r="B74" s="60" t="s">
        <v>178</v>
      </c>
      <c r="C74" s="60"/>
      <c r="P74" s="42"/>
    </row>
    <row r="75" spans="1:16" x14ac:dyDescent="0.35">
      <c r="A75" s="58"/>
      <c r="B75" s="60" t="s">
        <v>132</v>
      </c>
      <c r="C75" s="60"/>
      <c r="P75" s="42"/>
    </row>
    <row r="76" spans="1:16" x14ac:dyDescent="0.35">
      <c r="A76" s="58"/>
      <c r="B76" s="60" t="s">
        <v>179</v>
      </c>
      <c r="C76" s="60"/>
      <c r="P76" s="42"/>
    </row>
    <row r="77" spans="1:16" x14ac:dyDescent="0.35">
      <c r="A77" s="58"/>
      <c r="B77" s="60" t="s">
        <v>133</v>
      </c>
      <c r="C77" s="60"/>
      <c r="P77" s="42"/>
    </row>
    <row r="78" spans="1:16" x14ac:dyDescent="0.35">
      <c r="A78" s="58"/>
      <c r="B78" s="60" t="s">
        <v>180</v>
      </c>
      <c r="C78" s="60"/>
      <c r="P78" s="42"/>
    </row>
    <row r="79" spans="1:16" x14ac:dyDescent="0.35">
      <c r="A79" s="58"/>
      <c r="B79" s="60" t="s">
        <v>181</v>
      </c>
      <c r="C79" s="60"/>
      <c r="P79" s="42"/>
    </row>
    <row r="80" spans="1:16" x14ac:dyDescent="0.35">
      <c r="A80" s="58"/>
      <c r="B80" s="61" t="s">
        <v>134</v>
      </c>
      <c r="C80" s="60"/>
      <c r="P80" s="42"/>
    </row>
    <row r="81" spans="1:16" x14ac:dyDescent="0.35">
      <c r="A81" s="58"/>
      <c r="B81" s="60" t="s">
        <v>182</v>
      </c>
      <c r="C81" s="60"/>
      <c r="P81" s="42"/>
    </row>
    <row r="82" spans="1:16" x14ac:dyDescent="0.35">
      <c r="A82" s="58"/>
      <c r="B82" s="60" t="s">
        <v>183</v>
      </c>
      <c r="C82" s="60"/>
      <c r="P82" s="42"/>
    </row>
    <row r="83" spans="1:16" x14ac:dyDescent="0.35">
      <c r="A83" s="58"/>
      <c r="B83" s="60" t="s">
        <v>184</v>
      </c>
      <c r="C83" s="60"/>
      <c r="P83" s="42"/>
    </row>
    <row r="84" spans="1:16" x14ac:dyDescent="0.35">
      <c r="A84" s="58"/>
      <c r="B84" s="60" t="s">
        <v>185</v>
      </c>
      <c r="C84" s="60"/>
      <c r="P84" s="42"/>
    </row>
    <row r="85" spans="1:16" x14ac:dyDescent="0.35">
      <c r="A85" s="58"/>
      <c r="B85" s="60" t="s">
        <v>179</v>
      </c>
      <c r="C85" s="60"/>
      <c r="P85" s="42"/>
    </row>
    <row r="86" spans="1:16" x14ac:dyDescent="0.35">
      <c r="A86" s="58"/>
      <c r="B86" s="60" t="s">
        <v>186</v>
      </c>
      <c r="C86" s="60"/>
      <c r="P86" s="42"/>
    </row>
    <row r="87" spans="1:16" x14ac:dyDescent="0.35">
      <c r="P87" s="42"/>
    </row>
    <row r="88" spans="1:16" x14ac:dyDescent="0.35">
      <c r="P88" s="42"/>
    </row>
    <row r="89" spans="1:16" x14ac:dyDescent="0.35">
      <c r="A89" s="24"/>
      <c r="B89" s="25" t="s">
        <v>135</v>
      </c>
      <c r="C89" s="24"/>
      <c r="P89" s="42"/>
    </row>
    <row r="90" spans="1:16" x14ac:dyDescent="0.35">
      <c r="A90" s="24"/>
      <c r="B90" s="24" t="s">
        <v>136</v>
      </c>
      <c r="C90" s="24"/>
      <c r="P90" s="42"/>
    </row>
    <row r="91" spans="1:16" x14ac:dyDescent="0.35">
      <c r="A91" s="24"/>
      <c r="B91" s="24" t="s">
        <v>137</v>
      </c>
      <c r="C91" s="24"/>
      <c r="P91" s="42"/>
    </row>
    <row r="92" spans="1:16" x14ac:dyDescent="0.35">
      <c r="A92" s="24"/>
      <c r="B92" s="24" t="s">
        <v>138</v>
      </c>
      <c r="C92" s="24"/>
      <c r="P92" s="42"/>
    </row>
    <row r="93" spans="1:16" x14ac:dyDescent="0.35">
      <c r="A93" s="24"/>
      <c r="B93" s="24" t="s">
        <v>139</v>
      </c>
      <c r="C93" s="24"/>
      <c r="P93" s="42"/>
    </row>
    <row r="94" spans="1:16" x14ac:dyDescent="0.35">
      <c r="A94" s="24"/>
      <c r="B94" s="24" t="s">
        <v>140</v>
      </c>
      <c r="C94" s="24"/>
      <c r="P94" s="42"/>
    </row>
    <row r="95" spans="1:16" x14ac:dyDescent="0.35">
      <c r="A95" s="24"/>
      <c r="B95" s="24" t="s">
        <v>141</v>
      </c>
      <c r="C95" s="24"/>
    </row>
    <row r="96" spans="1:16" x14ac:dyDescent="0.35">
      <c r="A96" s="24"/>
      <c r="B96" s="24" t="s">
        <v>169</v>
      </c>
      <c r="C96" s="24"/>
    </row>
    <row r="97" spans="1:3" x14ac:dyDescent="0.35">
      <c r="A97" s="24"/>
      <c r="B97" s="24" t="s">
        <v>142</v>
      </c>
      <c r="C97" s="24"/>
    </row>
    <row r="98" spans="1:3" x14ac:dyDescent="0.35">
      <c r="A98" s="24"/>
      <c r="B98" s="24" t="s">
        <v>171</v>
      </c>
      <c r="C98" s="24"/>
    </row>
    <row r="99" spans="1:3" x14ac:dyDescent="0.35">
      <c r="A99" s="24"/>
      <c r="B99" s="24" t="s">
        <v>170</v>
      </c>
      <c r="C99" s="24"/>
    </row>
    <row r="100" spans="1:3" x14ac:dyDescent="0.35">
      <c r="A100" s="116"/>
      <c r="B100" s="35" t="s">
        <v>143</v>
      </c>
      <c r="C100" s="36"/>
    </row>
    <row r="102" spans="1:3" x14ac:dyDescent="0.35">
      <c r="B102" s="51"/>
    </row>
    <row r="103" spans="1:3" x14ac:dyDescent="0.35">
      <c r="B103" s="26"/>
    </row>
    <row r="104" spans="1:3" x14ac:dyDescent="0.35">
      <c r="B104" s="26"/>
    </row>
  </sheetData>
  <autoFilter ref="A1:P86" xr:uid="{073DCBEC-75D5-48CA-9620-7FCDBF488E31}"/>
  <mergeCells count="69">
    <mergeCell ref="L26:L29"/>
    <mergeCell ref="M26:M29"/>
    <mergeCell ref="B26:B29"/>
    <mergeCell ref="C26:C29"/>
    <mergeCell ref="E26:E29"/>
    <mergeCell ref="F26:F29"/>
    <mergeCell ref="G26:G29"/>
    <mergeCell ref="H26:H29"/>
    <mergeCell ref="J26:J29"/>
    <mergeCell ref="K26:K29"/>
    <mergeCell ref="I26:I29"/>
    <mergeCell ref="M20:M21"/>
    <mergeCell ref="B20:B21"/>
    <mergeCell ref="C20:C21"/>
    <mergeCell ref="E20:E21"/>
    <mergeCell ref="F20:F21"/>
    <mergeCell ref="G20:G21"/>
    <mergeCell ref="H20:H21"/>
    <mergeCell ref="I20:I21"/>
    <mergeCell ref="J20:J21"/>
    <mergeCell ref="K20:K21"/>
    <mergeCell ref="L20:L21"/>
    <mergeCell ref="M17:M18"/>
    <mergeCell ref="I15:I16"/>
    <mergeCell ref="J15:J16"/>
    <mergeCell ref="K15:K16"/>
    <mergeCell ref="L15:L16"/>
    <mergeCell ref="M15:M16"/>
    <mergeCell ref="I17:I18"/>
    <mergeCell ref="J17:J18"/>
    <mergeCell ref="K17:K18"/>
    <mergeCell ref="L17:L18"/>
    <mergeCell ref="P15:P16"/>
    <mergeCell ref="O17:O18"/>
    <mergeCell ref="O20:O21"/>
    <mergeCell ref="O26:O29"/>
    <mergeCell ref="N15:N16"/>
    <mergeCell ref="N17:N18"/>
    <mergeCell ref="N20:N21"/>
    <mergeCell ref="N26:N29"/>
    <mergeCell ref="O15:O16"/>
    <mergeCell ref="A15:A16"/>
    <mergeCell ref="A17:A18"/>
    <mergeCell ref="A20:A21"/>
    <mergeCell ref="A26:A29"/>
    <mergeCell ref="H15:H16"/>
    <mergeCell ref="B15:B16"/>
    <mergeCell ref="C15:C16"/>
    <mergeCell ref="F15:F16"/>
    <mergeCell ref="G15:G16"/>
    <mergeCell ref="B17:B18"/>
    <mergeCell ref="C17:C18"/>
    <mergeCell ref="F17:F18"/>
    <mergeCell ref="G17:G18"/>
    <mergeCell ref="H17:H18"/>
    <mergeCell ref="A31:A34"/>
    <mergeCell ref="I31:I34"/>
    <mergeCell ref="J31:J34"/>
    <mergeCell ref="N31:N34"/>
    <mergeCell ref="O31:O34"/>
    <mergeCell ref="B31:B34"/>
    <mergeCell ref="C31:C34"/>
    <mergeCell ref="P31:P34"/>
    <mergeCell ref="G31:G34"/>
    <mergeCell ref="F31:F34"/>
    <mergeCell ref="H33:H34"/>
    <mergeCell ref="K33:K34"/>
    <mergeCell ref="L33:L34"/>
    <mergeCell ref="M33:M34"/>
  </mergeCells>
  <conditionalFormatting sqref="M17:O17 M19:O20 M2:O15 M22:O26 M30:O31 M35:O72">
    <cfRule type="containsText" dxfId="50" priority="3" operator="containsText" text="FALSO">
      <formula>NOT(ISERROR(SEARCH("FALSO",M2)))</formula>
    </cfRule>
    <cfRule type="containsText" dxfId="49" priority="4" operator="containsText" text="VERO">
      <formula>NOT(ISERROR(SEARCH("VERO",M2)))</formula>
    </cfRule>
  </conditionalFormatting>
  <conditionalFormatting sqref="M33">
    <cfRule type="containsText" dxfId="48" priority="1" operator="containsText" text="FALSO">
      <formula>NOT(ISERROR(SEARCH("FALSO",M33)))</formula>
    </cfRule>
    <cfRule type="containsText" dxfId="47" priority="2" operator="containsText" text="VERO">
      <formula>NOT(ISERROR(SEARCH("VERO",M33)))</formula>
    </cfRule>
  </conditionalFormatting>
  <hyperlinks>
    <hyperlink ref="D10" r:id="rId1" display="108057" xr:uid="{E946C373-5F5E-432D-B595-3FC8DC1E227F}"/>
    <hyperlink ref="D11" r:id="rId2" display="101033" xr:uid="{637C230E-44BB-4286-BB3B-0441B92432A4}"/>
    <hyperlink ref="D18" r:id="rId3" display="https://dev.azure.com/alstombologna/TMS Factory/_workitems/edit/20803" xr:uid="{439A34ED-78F4-4574-A252-DEB84EB1EE6B}"/>
    <hyperlink ref="D35" r:id="rId4" display="20836" xr:uid="{6DD93EA5-A8CF-417C-A230-B01780FE2BB7}"/>
    <hyperlink ref="D19" r:id="rId5" display="20827" xr:uid="{FDBCC53B-0DEC-4047-A4E4-D0D867D47DD0}"/>
    <hyperlink ref="D22" r:id="rId6" display="105133" xr:uid="{140FD303-A681-4D0A-8635-1C6106D2BFE2}"/>
    <hyperlink ref="D57" r:id="rId7" display="71648" xr:uid="{72621743-3392-4834-B1DD-BCFB9D7808BC}"/>
    <hyperlink ref="D58" r:id="rId8" display="51270" xr:uid="{F0467502-48FA-406A-B8CB-A9E6908E9FCE}"/>
    <hyperlink ref="D36" r:id="rId9" display="20794" xr:uid="{6395339F-E1D2-4B90-8433-06AD164CAAE3}"/>
    <hyperlink ref="D37" r:id="rId10" display="20822" xr:uid="{ED9E8C09-7A5D-4E38-B766-35B2BC7509F4}"/>
    <hyperlink ref="D39" r:id="rId11" display="101039" xr:uid="{2F02CBCD-EDD5-4835-8B4E-80FFECF61AF3}"/>
    <hyperlink ref="D26" r:id="rId12" tooltip="77213" display="https://dev.azure.com/alstombologna/TMS Factory/_workitems/edit/77213" xr:uid="{D80ACA2A-CE85-4AA5-8CB2-DBBDA15F6E61}"/>
    <hyperlink ref="D20" r:id="rId13" display="101073" xr:uid="{6044161D-A1AB-4444-8A65-822520F4EFDB}"/>
    <hyperlink ref="D31" r:id="rId14" display="https://dev.azure.com/alstombologna/TMS Factory/_workitems/edit/89186" xr:uid="{D6D40A58-D566-4C33-9ED4-679A900D35E6}"/>
    <hyperlink ref="D46" r:id="rId15" display="114898" xr:uid="{B2294C82-10CC-4091-93FF-A944E57EC13B}"/>
    <hyperlink ref="D66" r:id="rId16" display="73144" xr:uid="{82A68CFB-F42A-45E4-86B9-3D2CB13A61AA}"/>
    <hyperlink ref="D27" r:id="rId17" tooltip="77213" display="https://dev.azure.com/alstombologna/TMS Factory/_workitems/edit/66033" xr:uid="{EFF25E14-2954-4743-9F09-F37908BAC047}"/>
    <hyperlink ref="D28" r:id="rId18" display="https://dev.azure.com/alstombologna/TMS Factory/_workitems/edit/5845" xr:uid="{F64A621F-15B5-4C96-8FB2-C0C2A9C220F8}"/>
    <hyperlink ref="D29" r:id="rId19" display="https://dev.azure.com/alstombologna/TMS Factory/_workitems/edit/100558" xr:uid="{E7C63D2B-0E32-4016-870F-694D402063D4}"/>
    <hyperlink ref="D16" r:id="rId20" display="https://dev.azure.com/alstombologna/TMS Factory/_workitems/edit/118781" xr:uid="{DDF07C88-DB5C-450F-9F15-308CB9859834}"/>
    <hyperlink ref="D15" r:id="rId21" display="20807" xr:uid="{4B2B8025-24DB-4370-805E-897FCDF28C95}"/>
    <hyperlink ref="D48" r:id="rId22" display="https://dev.azure.com/alstombologna/TMS Factory/_workitems/edit/21063" xr:uid="{66707894-B560-47FB-800C-D2FD4025FED0}"/>
    <hyperlink ref="D49" r:id="rId23" display="https://dev.azure.com/alstombologna/TMS Factory/_workitems/edit/21068" xr:uid="{D825D977-6DCD-4D00-8F35-78961FD8DD51}"/>
    <hyperlink ref="D50" r:id="rId24" display="https://dev.azure.com/alstombologna/TMS Factory/_workitems/edit/21069" xr:uid="{BCD90756-4974-4C92-82B0-51CE157B69D6}"/>
    <hyperlink ref="D51" r:id="rId25" display="https://dev.azure.com/alstombologna/TMS Factory/_workitems/edit/210471" xr:uid="{D82E2ABD-689B-402D-80C3-0B411C03D3E6}"/>
    <hyperlink ref="D56" r:id="rId26" display="https://dev.azure.com/alstombologna/TMS Factory/_workitems/edit/101041" xr:uid="{3377061D-C546-40E3-AEF3-1550DF1AA690}"/>
    <hyperlink ref="D17" r:id="rId27" display="20805" xr:uid="{17C9D848-F4E6-4E3A-A839-C4277D86995B}"/>
    <hyperlink ref="D21" r:id="rId28" display="https://dev.azure.com/alstombologna/TMS Factory/_workitems/edit/119245" xr:uid="{3B2D0F4C-BFD3-4638-956A-7DF1D9B7E535}"/>
    <hyperlink ref="D45" r:id="rId29" display="73145" xr:uid="{6EE565F9-D0E5-4519-B7E1-FD028E66F30C}"/>
    <hyperlink ref="D32" r:id="rId30" display="https://dev.azure.com/alstombologna/TMS Factory/_workitems/edit/101790" xr:uid="{589B6692-56B5-406E-B44D-7955AC9A7488}"/>
    <hyperlink ref="D33" r:id="rId31" display="108945" xr:uid="{5F6D2538-FEB0-4618-99EE-FD89B1FBE128}"/>
    <hyperlink ref="D34" r:id="rId32" display="114894" xr:uid="{7F9810AA-7C2F-45C3-BF51-A0460E9851E7}"/>
    <hyperlink ref="D69" r:id="rId33" display="130487" xr:uid="{CF7E8337-13B6-4258-99FF-CE9DF88568CC}"/>
  </hyperlinks>
  <pageMargins left="0.7" right="0.7" top="0.75" bottom="0.75" header="0.3" footer="0.3"/>
  <pageSetup orientation="portrait" r:id="rId34"/>
  <headerFooter>
    <oddHeader>&amp;R&amp;"Calibri"&amp;14&amp;K71BF44 RESTRICTED&amp;1#_x000D_</oddHeader>
  </headerFooter>
  <legacyDrawing r:id="rId3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001A7-6C79-46B2-AA8B-6408DCD7045B}">
  <sheetPr codeName="Sheet11"/>
  <dimension ref="A1:I92"/>
  <sheetViews>
    <sheetView workbookViewId="0">
      <selection activeCell="H19" sqref="H19"/>
    </sheetView>
  </sheetViews>
  <sheetFormatPr defaultRowHeight="14.5" x14ac:dyDescent="0.35"/>
  <cols>
    <col min="1" max="1" width="21.81640625" customWidth="1"/>
    <col min="3" max="3" width="12" bestFit="1" customWidth="1"/>
    <col min="5" max="5" width="15.6328125" bestFit="1" customWidth="1"/>
    <col min="9" max="9" width="17.81640625" bestFit="1" customWidth="1"/>
  </cols>
  <sheetData>
    <row r="1" spans="1:9" x14ac:dyDescent="0.35">
      <c r="A1" s="2" t="s">
        <v>404</v>
      </c>
      <c r="C1" s="1" t="s">
        <v>23</v>
      </c>
      <c r="E1" s="2" t="s">
        <v>4</v>
      </c>
      <c r="G1" s="2" t="s">
        <v>406</v>
      </c>
      <c r="I1" s="1" t="s">
        <v>198</v>
      </c>
    </row>
    <row r="2" spans="1:9" x14ac:dyDescent="0.35">
      <c r="A2" s="1" t="s">
        <v>13</v>
      </c>
      <c r="C2" s="1" t="s">
        <v>12</v>
      </c>
      <c r="E2" s="1" t="s">
        <v>16</v>
      </c>
      <c r="G2" s="1" t="s">
        <v>407</v>
      </c>
      <c r="I2" s="1" t="s">
        <v>459</v>
      </c>
    </row>
    <row r="3" spans="1:9" x14ac:dyDescent="0.35">
      <c r="A3" s="1" t="s">
        <v>25</v>
      </c>
      <c r="C3" s="1" t="s">
        <v>191</v>
      </c>
      <c r="E3" s="1" t="s">
        <v>19</v>
      </c>
      <c r="G3" s="1" t="s">
        <v>408</v>
      </c>
      <c r="I3" s="1" t="s">
        <v>227</v>
      </c>
    </row>
    <row r="4" spans="1:9" x14ac:dyDescent="0.35">
      <c r="A4" s="1" t="s">
        <v>28</v>
      </c>
      <c r="C4" s="1" t="s">
        <v>40</v>
      </c>
      <c r="E4" s="1" t="s">
        <v>167</v>
      </c>
      <c r="I4" s="1" t="s">
        <v>279</v>
      </c>
    </row>
    <row r="5" spans="1:9" x14ac:dyDescent="0.35">
      <c r="A5" s="1" t="s">
        <v>51</v>
      </c>
      <c r="C5" s="1"/>
      <c r="E5" s="1" t="s">
        <v>252</v>
      </c>
      <c r="I5" s="1" t="s">
        <v>278</v>
      </c>
    </row>
    <row r="6" spans="1:9" x14ac:dyDescent="0.35">
      <c r="A6" s="1" t="s">
        <v>58</v>
      </c>
      <c r="C6" s="1"/>
      <c r="E6" s="1" t="s">
        <v>40</v>
      </c>
      <c r="I6" s="1" t="s">
        <v>280</v>
      </c>
    </row>
    <row r="7" spans="1:9" x14ac:dyDescent="0.35">
      <c r="A7" s="1" t="s">
        <v>62</v>
      </c>
      <c r="E7" s="1"/>
    </row>
    <row r="80" spans="9:9" x14ac:dyDescent="0.35">
      <c r="I80" t="s">
        <v>17</v>
      </c>
    </row>
    <row r="81" spans="9:9" x14ac:dyDescent="0.35">
      <c r="I81" t="s">
        <v>148</v>
      </c>
    </row>
    <row r="82" spans="9:9" x14ac:dyDescent="0.35">
      <c r="I82" t="s">
        <v>278</v>
      </c>
    </row>
    <row r="83" spans="9:9" x14ac:dyDescent="0.35">
      <c r="I83" t="s">
        <v>17</v>
      </c>
    </row>
    <row r="84" spans="9:9" x14ac:dyDescent="0.35">
      <c r="I84" t="s">
        <v>148</v>
      </c>
    </row>
    <row r="85" spans="9:9" x14ac:dyDescent="0.35">
      <c r="I85" t="s">
        <v>17</v>
      </c>
    </row>
    <row r="86" spans="9:9" x14ac:dyDescent="0.35">
      <c r="I86" t="s">
        <v>198</v>
      </c>
    </row>
    <row r="87" spans="9:9" x14ac:dyDescent="0.35">
      <c r="I87" t="s">
        <v>148</v>
      </c>
    </row>
    <row r="88" spans="9:9" x14ac:dyDescent="0.35">
      <c r="I88" t="s">
        <v>278</v>
      </c>
    </row>
    <row r="89" spans="9:9" x14ac:dyDescent="0.35">
      <c r="I89" t="s">
        <v>17</v>
      </c>
    </row>
    <row r="90" spans="9:9" x14ac:dyDescent="0.35">
      <c r="I90" t="s">
        <v>198</v>
      </c>
    </row>
    <row r="91" spans="9:9" x14ac:dyDescent="0.35">
      <c r="I91" t="s">
        <v>148</v>
      </c>
    </row>
    <row r="92" spans="9:9" x14ac:dyDescent="0.35">
      <c r="I92" t="s">
        <v>278</v>
      </c>
    </row>
  </sheetData>
  <pageMargins left="0.7" right="0.7" top="0.75" bottom="0.75" header="0.3" footer="0.3"/>
  <pageSetup orientation="portrait" r:id="rId1"/>
  <headerFooter>
    <oddHeader>&amp;R&amp;"Calibri"&amp;14&amp;K71BF44 RESTRICTED&amp;1#_x000D_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8090A-6B17-4C5E-ADCE-6DA038CA76AD}">
  <sheetPr codeName="Sheet12" filterMode="1"/>
  <dimension ref="A1:M60"/>
  <sheetViews>
    <sheetView topLeftCell="A28" zoomScale="70" zoomScaleNormal="70" workbookViewId="0">
      <selection activeCell="A5" sqref="A5"/>
    </sheetView>
  </sheetViews>
  <sheetFormatPr defaultRowHeight="14.5" x14ac:dyDescent="0.35"/>
  <cols>
    <col min="1" max="1" width="17.6328125" style="141" customWidth="1"/>
    <col min="2" max="2" width="17.81640625" style="141" bestFit="1" customWidth="1"/>
    <col min="3" max="3" width="38.6328125" style="44" customWidth="1"/>
    <col min="5" max="5" width="15.6328125" style="141" bestFit="1" customWidth="1"/>
    <col min="6" max="6" width="38.6328125" style="44" customWidth="1"/>
    <col min="7" max="7" width="17.26953125" style="141" bestFit="1" customWidth="1"/>
    <col min="8" max="8" width="17.26953125" style="141" customWidth="1"/>
    <col min="9" max="9" width="15.90625" style="141" bestFit="1" customWidth="1"/>
    <col min="10" max="10" width="16.08984375" style="141" bestFit="1" customWidth="1"/>
    <col min="11" max="11" width="38.6328125" style="44" customWidth="1"/>
    <col min="12" max="13" width="8.7265625" style="141"/>
  </cols>
  <sheetData>
    <row r="1" spans="1:13" x14ac:dyDescent="0.35">
      <c r="A1" s="143" t="s">
        <v>260</v>
      </c>
      <c r="B1" s="153" t="s">
        <v>404</v>
      </c>
      <c r="C1" s="157" t="s">
        <v>405</v>
      </c>
      <c r="D1" s="155" t="s">
        <v>2</v>
      </c>
      <c r="E1" s="143" t="s">
        <v>4</v>
      </c>
      <c r="F1" s="143" t="s">
        <v>5</v>
      </c>
      <c r="G1" s="143" t="s">
        <v>430</v>
      </c>
      <c r="H1" s="143" t="s">
        <v>432</v>
      </c>
      <c r="I1" s="143" t="s">
        <v>173</v>
      </c>
      <c r="J1" s="143" t="s">
        <v>174</v>
      </c>
      <c r="K1" s="143" t="s">
        <v>410</v>
      </c>
      <c r="L1" s="143" t="s">
        <v>197</v>
      </c>
      <c r="M1" s="143" t="s">
        <v>409</v>
      </c>
    </row>
    <row r="2" spans="1:13" ht="50.5" hidden="1" customHeight="1" x14ac:dyDescent="0.35">
      <c r="A2" s="142" t="s">
        <v>40</v>
      </c>
      <c r="B2" s="154" t="s">
        <v>13</v>
      </c>
      <c r="C2" s="3" t="s">
        <v>14</v>
      </c>
      <c r="D2" s="156"/>
      <c r="E2" s="144" t="s">
        <v>16</v>
      </c>
      <c r="F2" s="3" t="s">
        <v>411</v>
      </c>
      <c r="G2" s="142">
        <v>0</v>
      </c>
      <c r="H2" s="142">
        <f>G2/8</f>
        <v>0</v>
      </c>
      <c r="I2" s="142"/>
      <c r="J2" s="142"/>
      <c r="K2" s="3" t="s">
        <v>306</v>
      </c>
      <c r="L2" s="142"/>
    </row>
    <row r="3" spans="1:13" ht="43.5" hidden="1" x14ac:dyDescent="0.35">
      <c r="A3" s="142" t="s">
        <v>40</v>
      </c>
      <c r="B3" s="154" t="s">
        <v>13</v>
      </c>
      <c r="C3" s="3" t="s">
        <v>18</v>
      </c>
      <c r="D3" s="156"/>
      <c r="E3" s="142" t="s">
        <v>19</v>
      </c>
      <c r="F3" s="3" t="s">
        <v>249</v>
      </c>
      <c r="G3" s="142">
        <v>0</v>
      </c>
      <c r="H3" s="142">
        <f t="shared" ref="H3:H60" si="0">G3/8</f>
        <v>0</v>
      </c>
      <c r="I3" s="142"/>
      <c r="J3" s="142"/>
      <c r="K3" s="3" t="s">
        <v>20</v>
      </c>
      <c r="L3" s="142"/>
    </row>
    <row r="4" spans="1:13" ht="29" hidden="1" x14ac:dyDescent="0.35">
      <c r="A4" s="142" t="s">
        <v>40</v>
      </c>
      <c r="B4" s="154" t="s">
        <v>13</v>
      </c>
      <c r="C4" s="3" t="s">
        <v>21</v>
      </c>
      <c r="D4" s="156"/>
      <c r="E4" s="144" t="s">
        <v>19</v>
      </c>
      <c r="F4" s="3" t="s">
        <v>250</v>
      </c>
      <c r="G4" s="142">
        <v>0</v>
      </c>
      <c r="H4" s="142">
        <f t="shared" si="0"/>
        <v>0</v>
      </c>
      <c r="I4" s="142"/>
      <c r="J4" s="142"/>
      <c r="K4" s="3" t="s">
        <v>22</v>
      </c>
      <c r="L4" s="142"/>
    </row>
    <row r="5" spans="1:13" ht="409.5" x14ac:dyDescent="0.35">
      <c r="A5" s="142" t="s">
        <v>23</v>
      </c>
      <c r="B5" s="154" t="s">
        <v>25</v>
      </c>
      <c r="C5" s="3" t="s">
        <v>24</v>
      </c>
      <c r="D5" s="156"/>
      <c r="E5" s="142" t="s">
        <v>16</v>
      </c>
      <c r="F5" s="3" t="s">
        <v>412</v>
      </c>
      <c r="G5" s="142">
        <v>6450</v>
      </c>
      <c r="H5" s="142">
        <f t="shared" si="0"/>
        <v>806.25</v>
      </c>
      <c r="I5" s="142" t="s">
        <v>15</v>
      </c>
      <c r="J5" s="142" t="s">
        <v>15</v>
      </c>
      <c r="K5" s="3" t="s">
        <v>424</v>
      </c>
      <c r="L5" s="142"/>
    </row>
    <row r="6" spans="1:13" hidden="1" x14ac:dyDescent="0.35">
      <c r="A6" s="142" t="s">
        <v>191</v>
      </c>
      <c r="B6" s="154" t="s">
        <v>25</v>
      </c>
      <c r="C6" s="3" t="s">
        <v>26</v>
      </c>
      <c r="D6" s="156"/>
      <c r="E6" s="144" t="s">
        <v>16</v>
      </c>
      <c r="F6" s="3" t="s">
        <v>304</v>
      </c>
      <c r="G6" s="142" t="s">
        <v>27</v>
      </c>
      <c r="H6" s="142" t="e">
        <f t="shared" si="0"/>
        <v>#VALUE!</v>
      </c>
      <c r="I6" s="142" t="s">
        <v>15</v>
      </c>
      <c r="J6" s="142" t="s">
        <v>59</v>
      </c>
      <c r="K6" s="3" t="s">
        <v>20</v>
      </c>
      <c r="L6" s="142"/>
    </row>
    <row r="7" spans="1:13" ht="29" hidden="1" x14ac:dyDescent="0.35">
      <c r="A7" s="142" t="s">
        <v>191</v>
      </c>
      <c r="B7" s="154" t="s">
        <v>28</v>
      </c>
      <c r="C7" s="3" t="s">
        <v>29</v>
      </c>
      <c r="D7" s="156"/>
      <c r="E7" s="142" t="s">
        <v>16</v>
      </c>
      <c r="F7" s="3" t="s">
        <v>30</v>
      </c>
      <c r="G7" s="142" t="s">
        <v>27</v>
      </c>
      <c r="H7" s="142" t="e">
        <f t="shared" si="0"/>
        <v>#VALUE!</v>
      </c>
      <c r="I7" s="142" t="s">
        <v>15</v>
      </c>
      <c r="J7" s="142" t="s">
        <v>15</v>
      </c>
      <c r="K7" s="3" t="s">
        <v>22</v>
      </c>
      <c r="L7" s="142"/>
    </row>
    <row r="8" spans="1:13" ht="87" x14ac:dyDescent="0.35">
      <c r="A8" s="142" t="s">
        <v>12</v>
      </c>
      <c r="B8" s="154" t="s">
        <v>25</v>
      </c>
      <c r="C8" s="3" t="s">
        <v>308</v>
      </c>
      <c r="D8" s="156"/>
      <c r="E8" s="144" t="s">
        <v>16</v>
      </c>
      <c r="F8" s="3" t="s">
        <v>413</v>
      </c>
      <c r="G8" s="142">
        <v>560</v>
      </c>
      <c r="H8" s="142">
        <f t="shared" si="0"/>
        <v>70</v>
      </c>
      <c r="I8" s="142" t="s">
        <v>15</v>
      </c>
      <c r="J8" s="142" t="s">
        <v>15</v>
      </c>
      <c r="K8" s="3" t="s">
        <v>32</v>
      </c>
      <c r="L8" s="142"/>
    </row>
    <row r="9" spans="1:13" ht="29" hidden="1" x14ac:dyDescent="0.35">
      <c r="A9" s="142" t="s">
        <v>191</v>
      </c>
      <c r="B9" s="154" t="s">
        <v>25</v>
      </c>
      <c r="C9" s="3" t="s">
        <v>34</v>
      </c>
      <c r="D9" s="156"/>
      <c r="E9" s="142" t="s">
        <v>16</v>
      </c>
      <c r="F9" s="3" t="s">
        <v>30</v>
      </c>
      <c r="G9" s="142" t="s">
        <v>27</v>
      </c>
      <c r="H9" s="142" t="e">
        <f t="shared" si="0"/>
        <v>#VALUE!</v>
      </c>
      <c r="I9" s="142" t="s">
        <v>15</v>
      </c>
      <c r="J9" s="142" t="s">
        <v>15</v>
      </c>
      <c r="K9" s="3" t="s">
        <v>35</v>
      </c>
      <c r="L9" s="142"/>
    </row>
    <row r="10" spans="1:13" ht="409.5" x14ac:dyDescent="0.35">
      <c r="A10" s="142" t="s">
        <v>23</v>
      </c>
      <c r="B10" s="154" t="s">
        <v>25</v>
      </c>
      <c r="C10" s="3" t="s">
        <v>461</v>
      </c>
      <c r="D10" s="156"/>
      <c r="E10" s="144" t="s">
        <v>167</v>
      </c>
      <c r="F10" s="3" t="s">
        <v>414</v>
      </c>
      <c r="G10" s="142">
        <v>216</v>
      </c>
      <c r="H10" s="142">
        <f t="shared" si="0"/>
        <v>27</v>
      </c>
      <c r="I10" s="142" t="s">
        <v>59</v>
      </c>
      <c r="J10" s="142" t="s">
        <v>15</v>
      </c>
      <c r="K10" s="3" t="s">
        <v>286</v>
      </c>
      <c r="L10" s="142"/>
    </row>
    <row r="11" spans="1:13" ht="203" x14ac:dyDescent="0.35">
      <c r="A11" s="142" t="s">
        <v>23</v>
      </c>
      <c r="B11" s="154" t="s">
        <v>25</v>
      </c>
      <c r="C11" s="3" t="s">
        <v>388</v>
      </c>
      <c r="D11" s="156"/>
      <c r="E11" s="142" t="s">
        <v>167</v>
      </c>
      <c r="F11" s="3" t="s">
        <v>415</v>
      </c>
      <c r="G11" s="142">
        <v>352</v>
      </c>
      <c r="H11" s="142">
        <f t="shared" si="0"/>
        <v>44</v>
      </c>
      <c r="I11" s="142" t="s">
        <v>59</v>
      </c>
      <c r="J11" s="142" t="s">
        <v>15</v>
      </c>
      <c r="K11" s="3"/>
      <c r="L11" s="142"/>
    </row>
    <row r="12" spans="1:13" hidden="1" x14ac:dyDescent="0.35">
      <c r="A12" s="142" t="s">
        <v>40</v>
      </c>
      <c r="B12" s="154" t="s">
        <v>25</v>
      </c>
      <c r="C12" s="3" t="s">
        <v>41</v>
      </c>
      <c r="D12" s="156"/>
      <c r="E12" s="144" t="s">
        <v>16</v>
      </c>
      <c r="F12" s="3" t="s">
        <v>416</v>
      </c>
      <c r="G12" s="142"/>
      <c r="H12" s="142">
        <f t="shared" si="0"/>
        <v>0</v>
      </c>
      <c r="I12" s="142"/>
      <c r="J12" s="142"/>
      <c r="K12" s="3"/>
      <c r="L12" s="142"/>
    </row>
    <row r="13" spans="1:13" ht="174" hidden="1" x14ac:dyDescent="0.35">
      <c r="A13" s="195"/>
      <c r="B13" s="196"/>
      <c r="C13" s="197"/>
      <c r="D13" s="198"/>
      <c r="E13" s="195" t="s">
        <v>252</v>
      </c>
      <c r="F13" s="197" t="s">
        <v>348</v>
      </c>
      <c r="G13" s="195">
        <v>160</v>
      </c>
      <c r="H13" s="195">
        <f t="shared" si="0"/>
        <v>20</v>
      </c>
      <c r="I13" s="195" t="s">
        <v>15</v>
      </c>
      <c r="J13" s="195" t="s">
        <v>59</v>
      </c>
      <c r="K13" s="197" t="s">
        <v>425</v>
      </c>
      <c r="L13" s="195"/>
    </row>
    <row r="14" spans="1:13" ht="145" x14ac:dyDescent="0.35">
      <c r="A14" s="142" t="s">
        <v>12</v>
      </c>
      <c r="B14" s="154" t="s">
        <v>25</v>
      </c>
      <c r="C14" s="3" t="s">
        <v>295</v>
      </c>
      <c r="D14" s="156"/>
      <c r="E14" s="144" t="s">
        <v>252</v>
      </c>
      <c r="F14" s="3" t="s">
        <v>417</v>
      </c>
      <c r="G14" s="142">
        <v>160</v>
      </c>
      <c r="H14" s="142">
        <f t="shared" si="0"/>
        <v>20</v>
      </c>
      <c r="I14" s="142"/>
      <c r="J14" s="142"/>
      <c r="K14" s="3" t="s">
        <v>307</v>
      </c>
      <c r="L14" s="142"/>
    </row>
    <row r="15" spans="1:13" ht="203" x14ac:dyDescent="0.35">
      <c r="A15" s="142" t="s">
        <v>23</v>
      </c>
      <c r="B15" s="154" t="s">
        <v>25</v>
      </c>
      <c r="C15" s="3" t="s">
        <v>44</v>
      </c>
      <c r="D15" s="156"/>
      <c r="E15" s="142" t="s">
        <v>46</v>
      </c>
      <c r="F15" s="3" t="s">
        <v>493</v>
      </c>
      <c r="G15" s="142">
        <f>3252+160</f>
        <v>3412</v>
      </c>
      <c r="H15" s="142">
        <f t="shared" si="0"/>
        <v>426.5</v>
      </c>
      <c r="I15" s="142" t="s">
        <v>15</v>
      </c>
      <c r="J15" s="142" t="s">
        <v>59</v>
      </c>
      <c r="K15" s="3" t="s">
        <v>426</v>
      </c>
      <c r="L15" s="142"/>
    </row>
    <row r="16" spans="1:13" ht="29" x14ac:dyDescent="0.35">
      <c r="A16" s="142" t="s">
        <v>23</v>
      </c>
      <c r="B16" s="154" t="s">
        <v>25</v>
      </c>
      <c r="C16" s="3" t="s">
        <v>47</v>
      </c>
      <c r="D16" s="156"/>
      <c r="E16" s="144" t="s">
        <v>167</v>
      </c>
      <c r="F16" s="3" t="s">
        <v>176</v>
      </c>
      <c r="G16" s="142">
        <v>130.5</v>
      </c>
      <c r="H16" s="142">
        <f t="shared" si="0"/>
        <v>16.3125</v>
      </c>
      <c r="I16" s="142" t="s">
        <v>59</v>
      </c>
      <c r="J16" s="142" t="s">
        <v>15</v>
      </c>
      <c r="K16" s="3" t="s">
        <v>427</v>
      </c>
      <c r="L16" s="142"/>
    </row>
    <row r="17" spans="1:12" ht="87" x14ac:dyDescent="0.35">
      <c r="A17" s="142" t="s">
        <v>23</v>
      </c>
      <c r="B17" s="154" t="s">
        <v>25</v>
      </c>
      <c r="C17" s="3" t="s">
        <v>49</v>
      </c>
      <c r="D17" s="156"/>
      <c r="E17" s="142" t="s">
        <v>46</v>
      </c>
      <c r="F17" s="3" t="s">
        <v>172</v>
      </c>
      <c r="G17" s="142">
        <v>480</v>
      </c>
      <c r="H17" s="142">
        <f t="shared" si="0"/>
        <v>60</v>
      </c>
      <c r="I17" s="142" t="s">
        <v>15</v>
      </c>
      <c r="J17" s="142" t="s">
        <v>59</v>
      </c>
      <c r="K17" s="3" t="s">
        <v>428</v>
      </c>
      <c r="L17" s="142"/>
    </row>
    <row r="18" spans="1:12" ht="29" hidden="1" x14ac:dyDescent="0.35">
      <c r="A18" s="142" t="s">
        <v>191</v>
      </c>
      <c r="B18" s="154" t="s">
        <v>51</v>
      </c>
      <c r="C18" s="3" t="s">
        <v>52</v>
      </c>
      <c r="D18" s="156"/>
      <c r="E18" s="144" t="s">
        <v>40</v>
      </c>
      <c r="F18" s="3" t="s">
        <v>53</v>
      </c>
      <c r="G18" s="142">
        <v>0</v>
      </c>
      <c r="H18" s="142">
        <f t="shared" si="0"/>
        <v>0</v>
      </c>
      <c r="I18" s="142" t="s">
        <v>15</v>
      </c>
      <c r="J18" s="142" t="s">
        <v>59</v>
      </c>
      <c r="K18" s="3" t="s">
        <v>54</v>
      </c>
      <c r="L18" s="142"/>
    </row>
    <row r="19" spans="1:12" ht="29" hidden="1" x14ac:dyDescent="0.35">
      <c r="A19" s="142" t="s">
        <v>191</v>
      </c>
      <c r="B19" s="154" t="s">
        <v>51</v>
      </c>
      <c r="C19" s="3" t="s">
        <v>55</v>
      </c>
      <c r="D19" s="156"/>
      <c r="E19" s="142" t="s">
        <v>40</v>
      </c>
      <c r="F19" s="3" t="s">
        <v>56</v>
      </c>
      <c r="G19" s="142">
        <v>0</v>
      </c>
      <c r="H19" s="142">
        <f t="shared" si="0"/>
        <v>0</v>
      </c>
      <c r="I19" s="142" t="s">
        <v>15</v>
      </c>
      <c r="J19" s="142" t="s">
        <v>59</v>
      </c>
      <c r="K19" s="3" t="s">
        <v>57</v>
      </c>
      <c r="L19" s="142"/>
    </row>
    <row r="20" spans="1:12" ht="58" hidden="1" x14ac:dyDescent="0.35">
      <c r="A20" s="142" t="s">
        <v>40</v>
      </c>
      <c r="B20" s="154" t="s">
        <v>58</v>
      </c>
      <c r="C20" s="3">
        <v>65</v>
      </c>
      <c r="D20" s="156"/>
      <c r="E20" s="144" t="s">
        <v>40</v>
      </c>
      <c r="F20" s="3" t="s">
        <v>418</v>
      </c>
      <c r="G20" s="142">
        <v>0</v>
      </c>
      <c r="H20" s="142">
        <f t="shared" si="0"/>
        <v>0</v>
      </c>
      <c r="I20" s="142" t="s">
        <v>59</v>
      </c>
      <c r="J20" s="142" t="s">
        <v>15</v>
      </c>
      <c r="K20" s="3"/>
      <c r="L20" s="142"/>
    </row>
    <row r="21" spans="1:12" ht="43.5" hidden="1" x14ac:dyDescent="0.35">
      <c r="A21" s="142" t="s">
        <v>40</v>
      </c>
      <c r="B21" s="154" t="s">
        <v>13</v>
      </c>
      <c r="C21" s="3" t="s">
        <v>60</v>
      </c>
      <c r="D21" s="156"/>
      <c r="E21" s="142" t="s">
        <v>40</v>
      </c>
      <c r="F21" s="3" t="s">
        <v>419</v>
      </c>
      <c r="G21" s="142">
        <v>0</v>
      </c>
      <c r="H21" s="142">
        <f t="shared" si="0"/>
        <v>0</v>
      </c>
      <c r="I21" s="142"/>
      <c r="J21" s="142"/>
      <c r="K21" s="3"/>
      <c r="L21" s="142"/>
    </row>
    <row r="22" spans="1:12" ht="43.5" hidden="1" x14ac:dyDescent="0.35">
      <c r="A22" s="142" t="s">
        <v>40</v>
      </c>
      <c r="B22" s="154" t="s">
        <v>13</v>
      </c>
      <c r="C22" s="3" t="s">
        <v>61</v>
      </c>
      <c r="D22" s="156"/>
      <c r="E22" s="144" t="s">
        <v>46</v>
      </c>
      <c r="F22" s="3" t="s">
        <v>257</v>
      </c>
      <c r="G22" s="142">
        <v>0</v>
      </c>
      <c r="H22" s="142">
        <f t="shared" si="0"/>
        <v>0</v>
      </c>
      <c r="I22" s="142"/>
      <c r="J22" s="142"/>
      <c r="K22" s="3"/>
      <c r="L22" s="142"/>
    </row>
    <row r="23" spans="1:12" ht="217.5" x14ac:dyDescent="0.35">
      <c r="A23" s="142" t="s">
        <v>12</v>
      </c>
      <c r="B23" s="154" t="s">
        <v>62</v>
      </c>
      <c r="C23" s="3" t="s">
        <v>63</v>
      </c>
      <c r="D23" s="156"/>
      <c r="E23" s="142" t="s">
        <v>46</v>
      </c>
      <c r="F23" s="3" t="s">
        <v>349</v>
      </c>
      <c r="G23" s="142">
        <v>1984</v>
      </c>
      <c r="H23" s="142">
        <f t="shared" si="0"/>
        <v>248</v>
      </c>
      <c r="I23" s="142" t="s">
        <v>15</v>
      </c>
      <c r="J23" s="142" t="s">
        <v>59</v>
      </c>
      <c r="K23" s="3" t="s">
        <v>305</v>
      </c>
      <c r="L23" s="142"/>
    </row>
    <row r="24" spans="1:12" ht="29" x14ac:dyDescent="0.35">
      <c r="A24" s="142" t="s">
        <v>12</v>
      </c>
      <c r="B24" s="154" t="s">
        <v>62</v>
      </c>
      <c r="C24" s="3" t="s">
        <v>65</v>
      </c>
      <c r="D24" s="156"/>
      <c r="E24" s="144" t="s">
        <v>46</v>
      </c>
      <c r="F24" s="3" t="s">
        <v>350</v>
      </c>
      <c r="G24" s="142">
        <v>966</v>
      </c>
      <c r="H24" s="142">
        <f t="shared" si="0"/>
        <v>120.75</v>
      </c>
      <c r="I24" s="142" t="s">
        <v>15</v>
      </c>
      <c r="J24" s="142" t="s">
        <v>59</v>
      </c>
      <c r="K24" s="3" t="s">
        <v>66</v>
      </c>
      <c r="L24" s="142"/>
    </row>
    <row r="25" spans="1:12" ht="72.5" x14ac:dyDescent="0.35">
      <c r="A25" s="142" t="s">
        <v>12</v>
      </c>
      <c r="B25" s="154" t="s">
        <v>62</v>
      </c>
      <c r="C25" s="3" t="s">
        <v>67</v>
      </c>
      <c r="D25" s="156"/>
      <c r="E25" s="142" t="s">
        <v>46</v>
      </c>
      <c r="F25" s="3" t="s">
        <v>261</v>
      </c>
      <c r="G25" s="142">
        <v>3498</v>
      </c>
      <c r="H25" s="142">
        <f t="shared" si="0"/>
        <v>437.25</v>
      </c>
      <c r="I25" s="142" t="s">
        <v>15</v>
      </c>
      <c r="J25" s="142" t="s">
        <v>59</v>
      </c>
      <c r="K25" s="3" t="s">
        <v>68</v>
      </c>
      <c r="L25" s="142"/>
    </row>
    <row r="26" spans="1:12" ht="29" hidden="1" x14ac:dyDescent="0.35">
      <c r="A26" s="142" t="s">
        <v>191</v>
      </c>
      <c r="B26" s="154" t="s">
        <v>25</v>
      </c>
      <c r="C26" s="3" t="s">
        <v>71</v>
      </c>
      <c r="D26" s="156"/>
      <c r="E26" s="144" t="s">
        <v>167</v>
      </c>
      <c r="F26" s="3" t="s">
        <v>168</v>
      </c>
      <c r="G26" s="142">
        <v>144.9</v>
      </c>
      <c r="H26" s="142">
        <f t="shared" si="0"/>
        <v>18.112500000000001</v>
      </c>
      <c r="I26" s="142" t="s">
        <v>15</v>
      </c>
      <c r="J26" s="142" t="s">
        <v>59</v>
      </c>
      <c r="K26" s="3" t="s">
        <v>72</v>
      </c>
      <c r="L26" s="142"/>
    </row>
    <row r="27" spans="1:12" ht="43.5" x14ac:dyDescent="0.35">
      <c r="A27" s="142" t="s">
        <v>12</v>
      </c>
      <c r="B27" s="154" t="s">
        <v>25</v>
      </c>
      <c r="C27" s="3" t="s">
        <v>74</v>
      </c>
      <c r="D27" s="156"/>
      <c r="E27" s="142" t="s">
        <v>46</v>
      </c>
      <c r="F27" s="3"/>
      <c r="G27" s="142">
        <v>1932</v>
      </c>
      <c r="H27" s="142">
        <f t="shared" si="0"/>
        <v>241.5</v>
      </c>
      <c r="I27" s="142" t="s">
        <v>15</v>
      </c>
      <c r="J27" s="142" t="s">
        <v>59</v>
      </c>
      <c r="K27" s="3" t="s">
        <v>299</v>
      </c>
      <c r="L27" s="142"/>
    </row>
    <row r="28" spans="1:12" ht="72.5" x14ac:dyDescent="0.35">
      <c r="A28" s="142" t="s">
        <v>12</v>
      </c>
      <c r="B28" s="154" t="s">
        <v>25</v>
      </c>
      <c r="C28" s="3" t="s">
        <v>188</v>
      </c>
      <c r="D28" s="156"/>
      <c r="E28" s="144" t="s">
        <v>46</v>
      </c>
      <c r="F28" s="3"/>
      <c r="G28" s="142">
        <v>1260</v>
      </c>
      <c r="H28" s="142">
        <f t="shared" si="0"/>
        <v>157.5</v>
      </c>
      <c r="I28" s="142" t="s">
        <v>15</v>
      </c>
      <c r="J28" s="142" t="s">
        <v>59</v>
      </c>
      <c r="K28" s="3" t="s">
        <v>429</v>
      </c>
      <c r="L28" s="142"/>
    </row>
    <row r="29" spans="1:12" hidden="1" x14ac:dyDescent="0.35">
      <c r="A29" s="142" t="s">
        <v>191</v>
      </c>
      <c r="B29" s="154" t="s">
        <v>25</v>
      </c>
      <c r="C29" s="3" t="s">
        <v>189</v>
      </c>
      <c r="D29" s="156"/>
      <c r="E29" s="142" t="s">
        <v>46</v>
      </c>
      <c r="F29" s="3"/>
      <c r="G29" s="142">
        <v>1260</v>
      </c>
      <c r="H29" s="142">
        <f t="shared" si="0"/>
        <v>157.5</v>
      </c>
      <c r="I29" s="142"/>
      <c r="J29" s="142"/>
      <c r="K29" s="3"/>
      <c r="L29" s="142"/>
    </row>
    <row r="30" spans="1:12" ht="72.5" x14ac:dyDescent="0.35">
      <c r="A30" s="142" t="s">
        <v>12</v>
      </c>
      <c r="B30" s="154" t="s">
        <v>25</v>
      </c>
      <c r="C30" s="3" t="s">
        <v>76</v>
      </c>
      <c r="D30" s="156"/>
      <c r="E30" s="144" t="s">
        <v>46</v>
      </c>
      <c r="F30" s="3" t="s">
        <v>298</v>
      </c>
      <c r="G30" s="142">
        <v>552</v>
      </c>
      <c r="H30" s="142">
        <f t="shared" si="0"/>
        <v>69</v>
      </c>
      <c r="I30" s="142" t="s">
        <v>15</v>
      </c>
      <c r="J30" s="142" t="s">
        <v>59</v>
      </c>
      <c r="K30" s="3" t="s">
        <v>354</v>
      </c>
      <c r="L30" s="142"/>
    </row>
    <row r="31" spans="1:12" ht="43.5" hidden="1" x14ac:dyDescent="0.35">
      <c r="A31" s="142" t="s">
        <v>191</v>
      </c>
      <c r="B31" s="154" t="s">
        <v>25</v>
      </c>
      <c r="C31" s="3" t="s">
        <v>78</v>
      </c>
      <c r="D31" s="156"/>
      <c r="E31" s="142" t="s">
        <v>40</v>
      </c>
      <c r="F31" s="3" t="s">
        <v>177</v>
      </c>
      <c r="G31" s="142">
        <v>0</v>
      </c>
      <c r="H31" s="142">
        <f t="shared" si="0"/>
        <v>0</v>
      </c>
      <c r="I31" s="142" t="s">
        <v>59</v>
      </c>
      <c r="J31" s="142" t="s">
        <v>15</v>
      </c>
      <c r="K31" s="3" t="s">
        <v>79</v>
      </c>
      <c r="L31" s="142"/>
    </row>
    <row r="32" spans="1:12" ht="29" hidden="1" x14ac:dyDescent="0.35">
      <c r="A32" s="142" t="s">
        <v>191</v>
      </c>
      <c r="B32" s="154" t="s">
        <v>25</v>
      </c>
      <c r="C32" s="3" t="s">
        <v>80</v>
      </c>
      <c r="D32" s="156"/>
      <c r="E32" s="144" t="s">
        <v>40</v>
      </c>
      <c r="F32" s="3"/>
      <c r="G32" s="142">
        <v>0</v>
      </c>
      <c r="H32" s="142">
        <f t="shared" si="0"/>
        <v>0</v>
      </c>
      <c r="I32" s="142" t="s">
        <v>15</v>
      </c>
      <c r="J32" s="142" t="s">
        <v>59</v>
      </c>
      <c r="K32" s="3" t="s">
        <v>81</v>
      </c>
      <c r="L32" s="142"/>
    </row>
    <row r="33" spans="1:12" ht="29" hidden="1" x14ac:dyDescent="0.35">
      <c r="A33" s="142" t="s">
        <v>191</v>
      </c>
      <c r="B33" s="154" t="s">
        <v>25</v>
      </c>
      <c r="C33" s="3" t="s">
        <v>82</v>
      </c>
      <c r="D33" s="156"/>
      <c r="E33" s="142" t="s">
        <v>40</v>
      </c>
      <c r="F33" s="3" t="s">
        <v>83</v>
      </c>
      <c r="G33" s="142">
        <v>0</v>
      </c>
      <c r="H33" s="142">
        <f t="shared" si="0"/>
        <v>0</v>
      </c>
      <c r="I33" s="142" t="s">
        <v>59</v>
      </c>
      <c r="J33" s="142" t="s">
        <v>15</v>
      </c>
      <c r="K33" s="3" t="s">
        <v>69</v>
      </c>
      <c r="L33" s="142"/>
    </row>
    <row r="34" spans="1:12" ht="29" hidden="1" x14ac:dyDescent="0.35">
      <c r="A34" s="142" t="s">
        <v>191</v>
      </c>
      <c r="B34" s="154" t="s">
        <v>25</v>
      </c>
      <c r="C34" s="3" t="s">
        <v>84</v>
      </c>
      <c r="D34" s="156"/>
      <c r="E34" s="144" t="s">
        <v>40</v>
      </c>
      <c r="F34" s="3" t="s">
        <v>85</v>
      </c>
      <c r="G34" s="142">
        <v>0</v>
      </c>
      <c r="H34" s="142">
        <f t="shared" si="0"/>
        <v>0</v>
      </c>
      <c r="I34" s="142" t="s">
        <v>15</v>
      </c>
      <c r="J34" s="142" t="s">
        <v>15</v>
      </c>
      <c r="K34" s="3" t="s">
        <v>86</v>
      </c>
      <c r="L34" s="142"/>
    </row>
    <row r="35" spans="1:12" ht="29" hidden="1" x14ac:dyDescent="0.35">
      <c r="A35" s="142" t="s">
        <v>191</v>
      </c>
      <c r="B35" s="154" t="s">
        <v>25</v>
      </c>
      <c r="C35" s="3" t="s">
        <v>87</v>
      </c>
      <c r="D35" s="156"/>
      <c r="E35" s="142" t="s">
        <v>40</v>
      </c>
      <c r="F35" s="3" t="s">
        <v>83</v>
      </c>
      <c r="G35" s="142">
        <v>0</v>
      </c>
      <c r="H35" s="142">
        <f t="shared" si="0"/>
        <v>0</v>
      </c>
      <c r="I35" s="142" t="s">
        <v>59</v>
      </c>
      <c r="J35" s="142" t="s">
        <v>15</v>
      </c>
      <c r="K35" s="3" t="s">
        <v>69</v>
      </c>
      <c r="L35" s="142"/>
    </row>
    <row r="36" spans="1:12" ht="130.5" x14ac:dyDescent="0.35">
      <c r="A36" s="142" t="s">
        <v>12</v>
      </c>
      <c r="B36" s="154" t="s">
        <v>25</v>
      </c>
      <c r="C36" s="3" t="s">
        <v>88</v>
      </c>
      <c r="D36" s="156"/>
      <c r="E36" s="144" t="s">
        <v>167</v>
      </c>
      <c r="F36" s="3" t="s">
        <v>420</v>
      </c>
      <c r="G36" s="142">
        <v>0</v>
      </c>
      <c r="H36" s="142">
        <f t="shared" si="0"/>
        <v>0</v>
      </c>
      <c r="I36" s="142" t="s">
        <v>15</v>
      </c>
      <c r="J36" s="142" t="s">
        <v>15</v>
      </c>
      <c r="K36" s="3" t="s">
        <v>89</v>
      </c>
      <c r="L36" s="142"/>
    </row>
    <row r="37" spans="1:12" ht="43.5" x14ac:dyDescent="0.35">
      <c r="A37" s="142" t="s">
        <v>12</v>
      </c>
      <c r="B37" s="154" t="s">
        <v>51</v>
      </c>
      <c r="C37" s="3" t="s">
        <v>90</v>
      </c>
      <c r="D37" s="156"/>
      <c r="E37" s="142" t="s">
        <v>46</v>
      </c>
      <c r="F37" s="3"/>
      <c r="G37" s="142">
        <v>600</v>
      </c>
      <c r="H37" s="142">
        <f t="shared" si="0"/>
        <v>75</v>
      </c>
      <c r="I37" s="142" t="s">
        <v>15</v>
      </c>
      <c r="J37" s="142" t="s">
        <v>59</v>
      </c>
      <c r="K37" s="3" t="s">
        <v>303</v>
      </c>
      <c r="L37" s="142"/>
    </row>
    <row r="38" spans="1:12" ht="43.5" hidden="1" x14ac:dyDescent="0.35">
      <c r="A38" s="142" t="s">
        <v>191</v>
      </c>
      <c r="B38" s="154" t="s">
        <v>51</v>
      </c>
      <c r="C38" s="3" t="s">
        <v>91</v>
      </c>
      <c r="D38" s="156"/>
      <c r="E38" s="144" t="s">
        <v>40</v>
      </c>
      <c r="F38" s="3" t="s">
        <v>92</v>
      </c>
      <c r="G38" s="142">
        <v>0</v>
      </c>
      <c r="H38" s="142">
        <f t="shared" si="0"/>
        <v>0</v>
      </c>
      <c r="I38" s="142" t="s">
        <v>15</v>
      </c>
      <c r="J38" s="142" t="s">
        <v>59</v>
      </c>
      <c r="K38" s="3" t="s">
        <v>93</v>
      </c>
      <c r="L38" s="142"/>
    </row>
    <row r="39" spans="1:12" ht="29" hidden="1" x14ac:dyDescent="0.35">
      <c r="A39" s="142" t="s">
        <v>40</v>
      </c>
      <c r="B39" s="154" t="s">
        <v>51</v>
      </c>
      <c r="C39" s="3" t="s">
        <v>94</v>
      </c>
      <c r="D39" s="156"/>
      <c r="E39" s="142" t="s">
        <v>40</v>
      </c>
      <c r="F39" s="3" t="s">
        <v>291</v>
      </c>
      <c r="G39" s="142">
        <v>0</v>
      </c>
      <c r="H39" s="142">
        <f t="shared" si="0"/>
        <v>0</v>
      </c>
      <c r="I39" s="142" t="s">
        <v>59</v>
      </c>
      <c r="J39" s="142" t="s">
        <v>15</v>
      </c>
      <c r="K39" s="3" t="s">
        <v>95</v>
      </c>
      <c r="L39" s="142"/>
    </row>
    <row r="40" spans="1:12" ht="29" hidden="1" x14ac:dyDescent="0.35">
      <c r="A40" s="142" t="s">
        <v>40</v>
      </c>
      <c r="B40" s="154" t="s">
        <v>51</v>
      </c>
      <c r="C40" s="3" t="s">
        <v>96</v>
      </c>
      <c r="D40" s="156"/>
      <c r="E40" s="144" t="s">
        <v>40</v>
      </c>
      <c r="F40" s="3" t="s">
        <v>290</v>
      </c>
      <c r="G40" s="142">
        <v>0</v>
      </c>
      <c r="H40" s="142">
        <f t="shared" si="0"/>
        <v>0</v>
      </c>
      <c r="I40" s="142" t="s">
        <v>59</v>
      </c>
      <c r="J40" s="142" t="s">
        <v>15</v>
      </c>
      <c r="K40" s="3" t="s">
        <v>97</v>
      </c>
      <c r="L40" s="142"/>
    </row>
    <row r="41" spans="1:12" ht="58" hidden="1" x14ac:dyDescent="0.35">
      <c r="A41" s="142" t="s">
        <v>40</v>
      </c>
      <c r="B41" s="154" t="s">
        <v>51</v>
      </c>
      <c r="C41" s="3" t="s">
        <v>98</v>
      </c>
      <c r="D41" s="156"/>
      <c r="E41" s="142" t="s">
        <v>40</v>
      </c>
      <c r="F41" s="3" t="s">
        <v>289</v>
      </c>
      <c r="G41" s="142">
        <v>0</v>
      </c>
      <c r="H41" s="142">
        <f t="shared" si="0"/>
        <v>0</v>
      </c>
      <c r="I41" s="142" t="s">
        <v>59</v>
      </c>
      <c r="J41" s="142" t="s">
        <v>15</v>
      </c>
      <c r="K41" s="3" t="s">
        <v>99</v>
      </c>
      <c r="L41" s="142"/>
    </row>
    <row r="42" spans="1:12" ht="29" hidden="1" x14ac:dyDescent="0.35">
      <c r="A42" s="142" t="s">
        <v>40</v>
      </c>
      <c r="B42" s="154" t="s">
        <v>51</v>
      </c>
      <c r="C42" s="3" t="s">
        <v>100</v>
      </c>
      <c r="D42" s="156"/>
      <c r="E42" s="144" t="s">
        <v>40</v>
      </c>
      <c r="F42" s="3" t="s">
        <v>83</v>
      </c>
      <c r="G42" s="142">
        <v>0</v>
      </c>
      <c r="H42" s="142">
        <f t="shared" si="0"/>
        <v>0</v>
      </c>
      <c r="I42" s="142" t="s">
        <v>59</v>
      </c>
      <c r="J42" s="142" t="s">
        <v>15</v>
      </c>
      <c r="K42" s="3" t="s">
        <v>101</v>
      </c>
      <c r="L42" s="142"/>
    </row>
    <row r="43" spans="1:12" ht="72.5" hidden="1" x14ac:dyDescent="0.35">
      <c r="A43" s="142" t="s">
        <v>40</v>
      </c>
      <c r="B43" s="154" t="s">
        <v>51</v>
      </c>
      <c r="C43" s="3" t="s">
        <v>102</v>
      </c>
      <c r="D43" s="156"/>
      <c r="E43" s="142" t="s">
        <v>40</v>
      </c>
      <c r="F43" s="3" t="s">
        <v>292</v>
      </c>
      <c r="G43" s="142">
        <v>0</v>
      </c>
      <c r="H43" s="142">
        <f t="shared" si="0"/>
        <v>0</v>
      </c>
      <c r="I43" s="142" t="s">
        <v>59</v>
      </c>
      <c r="J43" s="142" t="s">
        <v>15</v>
      </c>
      <c r="K43" s="3" t="s">
        <v>103</v>
      </c>
      <c r="L43" s="142"/>
    </row>
    <row r="44" spans="1:12" ht="43.5" hidden="1" x14ac:dyDescent="0.35">
      <c r="A44" s="142" t="s">
        <v>40</v>
      </c>
      <c r="B44" s="154" t="s">
        <v>51</v>
      </c>
      <c r="C44" s="3" t="s">
        <v>104</v>
      </c>
      <c r="D44" s="156"/>
      <c r="E44" s="144" t="s">
        <v>40</v>
      </c>
      <c r="F44" s="3" t="s">
        <v>293</v>
      </c>
      <c r="G44" s="142">
        <v>0</v>
      </c>
      <c r="H44" s="142">
        <f t="shared" si="0"/>
        <v>0</v>
      </c>
      <c r="I44" s="142" t="s">
        <v>59</v>
      </c>
      <c r="J44" s="142" t="s">
        <v>15</v>
      </c>
      <c r="K44" s="3" t="s">
        <v>105</v>
      </c>
      <c r="L44" s="142"/>
    </row>
    <row r="45" spans="1:12" ht="29" hidden="1" x14ac:dyDescent="0.35">
      <c r="A45" s="142" t="s">
        <v>191</v>
      </c>
      <c r="B45" s="154" t="s">
        <v>51</v>
      </c>
      <c r="C45" s="3" t="s">
        <v>106</v>
      </c>
      <c r="D45" s="156"/>
      <c r="E45" s="142" t="s">
        <v>40</v>
      </c>
      <c r="F45" s="3" t="s">
        <v>107</v>
      </c>
      <c r="G45" s="142">
        <v>0</v>
      </c>
      <c r="H45" s="142">
        <f t="shared" si="0"/>
        <v>0</v>
      </c>
      <c r="I45" s="142" t="s">
        <v>59</v>
      </c>
      <c r="J45" s="142" t="s">
        <v>15</v>
      </c>
      <c r="K45" s="3" t="s">
        <v>108</v>
      </c>
      <c r="L45" s="142"/>
    </row>
    <row r="46" spans="1:12" ht="29" hidden="1" x14ac:dyDescent="0.35">
      <c r="A46" s="142" t="s">
        <v>40</v>
      </c>
      <c r="B46" s="154" t="s">
        <v>51</v>
      </c>
      <c r="C46" s="3" t="s">
        <v>109</v>
      </c>
      <c r="D46" s="156"/>
      <c r="E46" s="144" t="s">
        <v>40</v>
      </c>
      <c r="F46" s="3" t="s">
        <v>294</v>
      </c>
      <c r="G46" s="142">
        <v>0</v>
      </c>
      <c r="H46" s="142">
        <f t="shared" si="0"/>
        <v>0</v>
      </c>
      <c r="I46" s="142" t="s">
        <v>59</v>
      </c>
      <c r="J46" s="142" t="s">
        <v>15</v>
      </c>
      <c r="K46" s="3" t="s">
        <v>110</v>
      </c>
      <c r="L46" s="142"/>
    </row>
    <row r="47" spans="1:12" ht="72.5" hidden="1" x14ac:dyDescent="0.35">
      <c r="A47" s="142" t="s">
        <v>191</v>
      </c>
      <c r="B47" s="154" t="s">
        <v>25</v>
      </c>
      <c r="C47" s="3" t="s">
        <v>111</v>
      </c>
      <c r="D47" s="156"/>
      <c r="E47" s="142" t="s">
        <v>40</v>
      </c>
      <c r="F47" s="3" t="s">
        <v>112</v>
      </c>
      <c r="G47" s="142">
        <v>0</v>
      </c>
      <c r="H47" s="142">
        <f t="shared" si="0"/>
        <v>0</v>
      </c>
      <c r="I47" s="142" t="s">
        <v>59</v>
      </c>
      <c r="J47" s="142" t="s">
        <v>15</v>
      </c>
      <c r="K47" s="3" t="s">
        <v>113</v>
      </c>
      <c r="L47" s="142"/>
    </row>
    <row r="48" spans="1:12" ht="29" hidden="1" x14ac:dyDescent="0.35">
      <c r="A48" s="142" t="s">
        <v>191</v>
      </c>
      <c r="B48" s="154" t="s">
        <v>28</v>
      </c>
      <c r="C48" s="3" t="s">
        <v>114</v>
      </c>
      <c r="D48" s="156"/>
      <c r="E48" s="144" t="s">
        <v>40</v>
      </c>
      <c r="F48" s="3"/>
      <c r="G48" s="142">
        <v>0</v>
      </c>
      <c r="H48" s="142">
        <f t="shared" si="0"/>
        <v>0</v>
      </c>
      <c r="I48" s="142" t="s">
        <v>15</v>
      </c>
      <c r="J48" s="142" t="s">
        <v>59</v>
      </c>
      <c r="K48" s="3" t="s">
        <v>115</v>
      </c>
      <c r="L48" s="142"/>
    </row>
    <row r="49" spans="1:12" x14ac:dyDescent="0.35">
      <c r="A49" s="142" t="s">
        <v>12</v>
      </c>
      <c r="B49" s="154" t="s">
        <v>28</v>
      </c>
      <c r="C49" s="3" t="s">
        <v>116</v>
      </c>
      <c r="D49" s="156"/>
      <c r="E49" s="142" t="s">
        <v>46</v>
      </c>
      <c r="F49" s="3"/>
      <c r="G49" s="142">
        <v>648</v>
      </c>
      <c r="H49" s="142">
        <f t="shared" si="0"/>
        <v>81</v>
      </c>
      <c r="I49" s="142" t="s">
        <v>15</v>
      </c>
      <c r="J49" s="142" t="s">
        <v>59</v>
      </c>
      <c r="K49" s="3" t="s">
        <v>69</v>
      </c>
      <c r="L49" s="142"/>
    </row>
    <row r="50" spans="1:12" hidden="1" x14ac:dyDescent="0.35">
      <c r="A50" s="142" t="s">
        <v>191</v>
      </c>
      <c r="B50" s="154" t="s">
        <v>28</v>
      </c>
      <c r="C50" s="3" t="s">
        <v>117</v>
      </c>
      <c r="D50" s="156"/>
      <c r="E50" s="144" t="s">
        <v>16</v>
      </c>
      <c r="F50" s="3" t="s">
        <v>259</v>
      </c>
      <c r="G50" s="142" t="s">
        <v>27</v>
      </c>
      <c r="H50" s="142" t="e">
        <f t="shared" si="0"/>
        <v>#VALUE!</v>
      </c>
      <c r="I50" s="142" t="s">
        <v>15</v>
      </c>
      <c r="J50" s="142" t="s">
        <v>59</v>
      </c>
      <c r="K50" s="3" t="s">
        <v>69</v>
      </c>
      <c r="L50" s="142"/>
    </row>
    <row r="51" spans="1:12" ht="87" hidden="1" x14ac:dyDescent="0.35">
      <c r="A51" s="142" t="s">
        <v>40</v>
      </c>
      <c r="B51" s="154" t="s">
        <v>58</v>
      </c>
      <c r="C51" s="3" t="s">
        <v>118</v>
      </c>
      <c r="D51" s="156"/>
      <c r="E51" s="142" t="s">
        <v>40</v>
      </c>
      <c r="F51" s="3" t="s">
        <v>421</v>
      </c>
      <c r="G51" s="142">
        <v>0</v>
      </c>
      <c r="H51" s="142">
        <f t="shared" si="0"/>
        <v>0</v>
      </c>
      <c r="I51" s="142" t="s">
        <v>59</v>
      </c>
      <c r="J51" s="142" t="s">
        <v>15</v>
      </c>
      <c r="K51" s="3"/>
      <c r="L51" s="142"/>
    </row>
    <row r="52" spans="1:12" ht="58" hidden="1" x14ac:dyDescent="0.35">
      <c r="A52" s="142" t="s">
        <v>40</v>
      </c>
      <c r="B52" s="154" t="s">
        <v>58</v>
      </c>
      <c r="C52" s="3" t="s">
        <v>119</v>
      </c>
      <c r="D52" s="156"/>
      <c r="E52" s="144" t="s">
        <v>40</v>
      </c>
      <c r="F52" s="3" t="s">
        <v>422</v>
      </c>
      <c r="G52" s="142">
        <v>0</v>
      </c>
      <c r="H52" s="142">
        <f t="shared" si="0"/>
        <v>0</v>
      </c>
      <c r="I52" s="142" t="s">
        <v>59</v>
      </c>
      <c r="J52" s="142" t="s">
        <v>15</v>
      </c>
      <c r="K52" s="3"/>
      <c r="L52" s="142"/>
    </row>
    <row r="53" spans="1:12" ht="87" hidden="1" x14ac:dyDescent="0.35">
      <c r="A53" s="142" t="s">
        <v>40</v>
      </c>
      <c r="B53" s="154" t="s">
        <v>58</v>
      </c>
      <c r="C53" s="3" t="s">
        <v>88</v>
      </c>
      <c r="D53" s="156"/>
      <c r="E53" s="142" t="s">
        <v>40</v>
      </c>
      <c r="F53" s="3" t="s">
        <v>423</v>
      </c>
      <c r="G53" s="142">
        <v>0</v>
      </c>
      <c r="H53" s="142">
        <f t="shared" si="0"/>
        <v>0</v>
      </c>
      <c r="I53" s="142" t="s">
        <v>59</v>
      </c>
      <c r="J53" s="142" t="s">
        <v>175</v>
      </c>
      <c r="K53" s="3"/>
      <c r="L53" s="142"/>
    </row>
    <row r="54" spans="1:12" ht="43.5" hidden="1" x14ac:dyDescent="0.35">
      <c r="A54" s="142" t="s">
        <v>40</v>
      </c>
      <c r="B54" s="154" t="s">
        <v>13</v>
      </c>
      <c r="C54" s="3" t="s">
        <v>120</v>
      </c>
      <c r="D54" s="156"/>
      <c r="E54" s="144" t="s">
        <v>46</v>
      </c>
      <c r="F54" s="3" t="s">
        <v>254</v>
      </c>
      <c r="G54" s="142">
        <v>0</v>
      </c>
      <c r="H54" s="142">
        <f t="shared" si="0"/>
        <v>0</v>
      </c>
      <c r="I54" s="142"/>
      <c r="J54" s="142"/>
      <c r="K54" s="3"/>
      <c r="L54" s="142"/>
    </row>
    <row r="55" spans="1:12" ht="43.5" hidden="1" x14ac:dyDescent="0.35">
      <c r="A55" s="142" t="s">
        <v>40</v>
      </c>
      <c r="B55" s="154" t="s">
        <v>13</v>
      </c>
      <c r="C55" s="3" t="s">
        <v>121</v>
      </c>
      <c r="D55" s="156"/>
      <c r="E55" s="142" t="s">
        <v>46</v>
      </c>
      <c r="F55" s="3" t="s">
        <v>255</v>
      </c>
      <c r="G55" s="142">
        <v>0</v>
      </c>
      <c r="H55" s="142">
        <f t="shared" si="0"/>
        <v>0</v>
      </c>
      <c r="I55" s="142"/>
      <c r="J55" s="142"/>
      <c r="K55" s="3" t="s">
        <v>122</v>
      </c>
      <c r="L55" s="142"/>
    </row>
    <row r="56" spans="1:12" ht="43.5" x14ac:dyDescent="0.35">
      <c r="A56" s="142" t="s">
        <v>12</v>
      </c>
      <c r="B56" s="154" t="s">
        <v>62</v>
      </c>
      <c r="C56" s="3" t="s">
        <v>123</v>
      </c>
      <c r="D56" s="156"/>
      <c r="E56" s="144" t="s">
        <v>46</v>
      </c>
      <c r="F56" s="3" t="s">
        <v>124</v>
      </c>
      <c r="G56" s="142">
        <v>160</v>
      </c>
      <c r="H56" s="142">
        <f t="shared" si="0"/>
        <v>20</v>
      </c>
      <c r="I56" s="142" t="s">
        <v>15</v>
      </c>
      <c r="J56" s="142" t="s">
        <v>59</v>
      </c>
      <c r="K56" s="3"/>
      <c r="L56" s="142"/>
    </row>
    <row r="57" spans="1:12" ht="87" x14ac:dyDescent="0.35">
      <c r="A57" s="142" t="s">
        <v>12</v>
      </c>
      <c r="B57" s="154" t="s">
        <v>62</v>
      </c>
      <c r="C57" s="3" t="s">
        <v>125</v>
      </c>
      <c r="D57" s="156"/>
      <c r="E57" s="142" t="s">
        <v>167</v>
      </c>
      <c r="F57" s="3" t="s">
        <v>345</v>
      </c>
      <c r="G57" s="142">
        <v>900</v>
      </c>
      <c r="H57" s="142">
        <f t="shared" si="0"/>
        <v>112.5</v>
      </c>
      <c r="I57" s="142" t="s">
        <v>15</v>
      </c>
      <c r="J57" s="142" t="s">
        <v>59</v>
      </c>
      <c r="K57" s="3"/>
      <c r="L57" s="142"/>
    </row>
    <row r="58" spans="1:12" ht="43.5" hidden="1" x14ac:dyDescent="0.35">
      <c r="A58" s="142" t="s">
        <v>191</v>
      </c>
      <c r="B58" s="154" t="s">
        <v>25</v>
      </c>
      <c r="C58" s="3" t="s">
        <v>126</v>
      </c>
      <c r="D58" s="156"/>
      <c r="E58" s="144" t="s">
        <v>46</v>
      </c>
      <c r="F58" s="3"/>
      <c r="G58" s="142">
        <v>0</v>
      </c>
      <c r="H58" s="142">
        <f t="shared" si="0"/>
        <v>0</v>
      </c>
      <c r="I58" s="142" t="s">
        <v>15</v>
      </c>
      <c r="J58" s="142" t="s">
        <v>15</v>
      </c>
      <c r="K58" s="3" t="s">
        <v>127</v>
      </c>
      <c r="L58" s="142"/>
    </row>
    <row r="59" spans="1:12" hidden="1" x14ac:dyDescent="0.35">
      <c r="A59" s="142" t="s">
        <v>191</v>
      </c>
      <c r="B59" s="154" t="s">
        <v>25</v>
      </c>
      <c r="C59" s="3" t="s">
        <v>276</v>
      </c>
      <c r="D59" s="156"/>
      <c r="E59" s="142" t="s">
        <v>46</v>
      </c>
      <c r="F59" s="3"/>
      <c r="G59" s="142">
        <v>0</v>
      </c>
      <c r="H59" s="142">
        <f t="shared" si="0"/>
        <v>0</v>
      </c>
      <c r="I59" s="142"/>
      <c r="J59" s="142"/>
      <c r="K59" s="3"/>
      <c r="L59" s="142"/>
    </row>
    <row r="60" spans="1:12" x14ac:dyDescent="0.35">
      <c r="A60" s="142" t="s">
        <v>12</v>
      </c>
      <c r="B60" s="154" t="s">
        <v>25</v>
      </c>
      <c r="C60" s="3" t="s">
        <v>275</v>
      </c>
      <c r="D60" s="156"/>
      <c r="E60" s="144" t="s">
        <v>46</v>
      </c>
      <c r="F60" s="3" t="s">
        <v>281</v>
      </c>
      <c r="G60" s="142">
        <v>200</v>
      </c>
      <c r="H60" s="142">
        <f t="shared" si="0"/>
        <v>25</v>
      </c>
      <c r="I60" s="142"/>
      <c r="J60" s="142"/>
      <c r="K60" s="3" t="s">
        <v>302</v>
      </c>
      <c r="L60" s="142"/>
    </row>
  </sheetData>
  <autoFilter ref="A1:M60" xr:uid="{F868090A-6B17-4C5E-ADCE-6DA038CA76AD}">
    <filterColumn colId="0">
      <filters>
        <filter val="STEP1"/>
        <filter val="STEP2"/>
      </filters>
    </filterColumn>
  </autoFilter>
  <conditionalFormatting sqref="E1">
    <cfRule type="containsText" dxfId="46" priority="11" operator="containsText" text="Removed">
      <formula>NOT(ISERROR(SEARCH("Removed",E1)))</formula>
    </cfRule>
    <cfRule type="containsText" dxfId="45" priority="12" operator="containsText" text="minor adaptation">
      <formula>NOT(ISERROR(SEARCH("minor adaptation",E1)))</formula>
    </cfRule>
    <cfRule type="containsText" dxfId="44" priority="13" operator="containsText" text="Scope Reduced">
      <formula>NOT(ISERROR(SEARCH("Scope Reduced",E1)))</formula>
    </cfRule>
    <cfRule type="containsText" dxfId="43" priority="14" operator="containsText" text="No Gap">
      <formula>NOT(ISERROR(SEARCH("No Gap",E1)))</formula>
    </cfRule>
  </conditionalFormatting>
  <conditionalFormatting sqref="E2:E60">
    <cfRule type="containsText" dxfId="42" priority="5" operator="containsText" text="More Scope">
      <formula>NOT(ISERROR(SEARCH("More Scope",E2)))</formula>
    </cfRule>
  </conditionalFormatting>
  <conditionalFormatting sqref="E2:E60">
    <cfRule type="containsText" dxfId="41" priority="1" operator="containsText" text="Removed">
      <formula>NOT(ISERROR(SEARCH("Removed",E2)))</formula>
    </cfRule>
    <cfRule type="containsText" dxfId="40" priority="2" operator="containsText" text="minor adaptation">
      <formula>NOT(ISERROR(SEARCH("minor adaptation",E2)))</formula>
    </cfRule>
    <cfRule type="containsText" dxfId="39" priority="3" operator="containsText" text="Scope Reduced">
      <formula>NOT(ISERROR(SEARCH("Scope Reduced",E2)))</formula>
    </cfRule>
    <cfRule type="containsText" dxfId="38" priority="4" operator="containsText" text="No Gap">
      <formula>NOT(ISERROR(SEARCH("No Gap",E2)))</formula>
    </cfRule>
  </conditionalFormatting>
  <pageMargins left="0.7" right="0.7" top="0.75" bottom="0.75" header="0.3" footer="0.3"/>
  <pageSetup orientation="portrait" r:id="rId1"/>
  <headerFooter>
    <oddHeader>&amp;R&amp;"Calibri"&amp;14&amp;K71BF44 RESTRICTED&amp;1#_x000D_</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75D60DE0-6389-434B-A57F-975E010617D7}">
          <x14:formula1>
            <xm:f>Menu!$E$2:$E$6</xm:f>
          </x14:formula1>
          <xm:sqref>E2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FB56F-1160-4186-86A8-943FC7080906}">
  <sheetPr codeName="Sheet8"/>
  <dimension ref="A1:I73"/>
  <sheetViews>
    <sheetView topLeftCell="A38" workbookViewId="0">
      <selection activeCell="A67" sqref="A67"/>
    </sheetView>
  </sheetViews>
  <sheetFormatPr defaultRowHeight="14.5" outlineLevelRow="1" x14ac:dyDescent="0.35"/>
  <cols>
    <col min="1" max="1" width="53.90625" bestFit="1" customWidth="1"/>
    <col min="2" max="2" width="15.08984375" bestFit="1" customWidth="1"/>
    <col min="3" max="3" width="16.7265625" bestFit="1" customWidth="1"/>
    <col min="4" max="4" width="15.6328125" customWidth="1"/>
    <col min="5" max="5" width="24.54296875" bestFit="1" customWidth="1"/>
    <col min="6" max="6" width="25.90625" style="141" bestFit="1" customWidth="1"/>
    <col min="7" max="7" width="16.453125" style="141" bestFit="1" customWidth="1"/>
    <col min="8" max="8" width="31.08984375" style="141" bestFit="1" customWidth="1"/>
    <col min="9" max="9" width="10.6328125" style="141" bestFit="1" customWidth="1"/>
    <col min="10" max="10" width="12.54296875" bestFit="1" customWidth="1"/>
    <col min="11" max="11" width="34.7265625" bestFit="1" customWidth="1"/>
    <col min="12" max="12" width="18.08984375" bestFit="1" customWidth="1"/>
    <col min="13" max="13" width="20.7265625" bestFit="1" customWidth="1"/>
    <col min="14" max="14" width="27.54296875" bestFit="1" customWidth="1"/>
    <col min="15" max="15" width="32.7265625" bestFit="1" customWidth="1"/>
    <col min="16" max="16" width="4.90625" bestFit="1" customWidth="1"/>
    <col min="17" max="17" width="10.453125" bestFit="1" customWidth="1"/>
    <col min="18" max="18" width="37.90625" bestFit="1" customWidth="1"/>
    <col min="19" max="19" width="39.36328125" bestFit="1" customWidth="1"/>
    <col min="20" max="20" width="56.453125" bestFit="1" customWidth="1"/>
    <col min="21" max="21" width="72.90625" bestFit="1" customWidth="1"/>
    <col min="22" max="22" width="81.36328125" bestFit="1" customWidth="1"/>
    <col min="23" max="23" width="85.90625" bestFit="1" customWidth="1"/>
    <col min="24" max="24" width="91.36328125" bestFit="1" customWidth="1"/>
    <col min="25" max="25" width="34.36328125" bestFit="1" customWidth="1"/>
    <col min="26" max="26" width="51.26953125" bestFit="1" customWidth="1"/>
    <col min="27" max="27" width="67.90625" bestFit="1" customWidth="1"/>
    <col min="28" max="28" width="76.36328125" bestFit="1" customWidth="1"/>
    <col min="29" max="29" width="80.81640625" bestFit="1" customWidth="1"/>
    <col min="30" max="30" width="86.26953125" bestFit="1" customWidth="1"/>
    <col min="31" max="31" width="44.7265625" bestFit="1" customWidth="1"/>
    <col min="32" max="32" width="61.6328125" bestFit="1" customWidth="1"/>
    <col min="33" max="33" width="78.08984375" bestFit="1" customWidth="1"/>
    <col min="34" max="34" width="86.54296875" bestFit="1" customWidth="1"/>
    <col min="35" max="35" width="91.08984375" bestFit="1" customWidth="1"/>
    <col min="36" max="36" width="96.6328125" bestFit="1" customWidth="1"/>
    <col min="37" max="37" width="37.90625" bestFit="1" customWidth="1"/>
    <col min="38" max="38" width="54.81640625" bestFit="1" customWidth="1"/>
    <col min="39" max="39" width="71.26953125" bestFit="1" customWidth="1"/>
    <col min="40" max="40" width="79.90625" bestFit="1" customWidth="1"/>
    <col min="41" max="41" width="84.36328125" bestFit="1" customWidth="1"/>
    <col min="42" max="42" width="89.81640625" bestFit="1" customWidth="1"/>
    <col min="43" max="43" width="19.1796875" bestFit="1" customWidth="1"/>
    <col min="44" max="44" width="36.26953125" bestFit="1" customWidth="1"/>
    <col min="45" max="45" width="52.7265625" bestFit="1" customWidth="1"/>
    <col min="46" max="46" width="61.1796875" bestFit="1" customWidth="1"/>
    <col min="47" max="47" width="65.7265625" bestFit="1" customWidth="1"/>
    <col min="48" max="48" width="71.1796875" bestFit="1" customWidth="1"/>
    <col min="49" max="49" width="23.1796875" bestFit="1" customWidth="1"/>
    <col min="50" max="50" width="40.1796875" bestFit="1" customWidth="1"/>
    <col min="51" max="51" width="56.7265625" bestFit="1" customWidth="1"/>
    <col min="52" max="52" width="65.1796875" bestFit="1" customWidth="1"/>
    <col min="53" max="53" width="69.6328125" bestFit="1" customWidth="1"/>
    <col min="54" max="54" width="75.08984375" bestFit="1" customWidth="1"/>
    <col min="55" max="55" width="41.54296875" bestFit="1" customWidth="1"/>
    <col min="56" max="56" width="58.453125" bestFit="1" customWidth="1"/>
    <col min="57" max="57" width="75" bestFit="1" customWidth="1"/>
    <col min="58" max="58" width="83.453125" bestFit="1" customWidth="1"/>
    <col min="59" max="59" width="88.08984375" bestFit="1" customWidth="1"/>
    <col min="60" max="60" width="93.54296875" bestFit="1" customWidth="1"/>
    <col min="61" max="61" width="63.6328125" bestFit="1" customWidth="1"/>
    <col min="62" max="62" width="80.7265625" bestFit="1" customWidth="1"/>
    <col min="63" max="63" width="97.1796875" bestFit="1" customWidth="1"/>
    <col min="64" max="64" width="105.6328125" bestFit="1" customWidth="1"/>
    <col min="65" max="65" width="110.1796875" bestFit="1" customWidth="1"/>
    <col min="66" max="66" width="115.7265625" bestFit="1" customWidth="1"/>
    <col min="67" max="67" width="31.1796875" bestFit="1" customWidth="1"/>
    <col min="68" max="68" width="48.26953125" bestFit="1" customWidth="1"/>
    <col min="69" max="69" width="64.7265625" bestFit="1" customWidth="1"/>
    <col min="70" max="70" width="73.1796875" bestFit="1" customWidth="1"/>
    <col min="71" max="71" width="77.7265625" bestFit="1" customWidth="1"/>
    <col min="72" max="72" width="83.1796875" bestFit="1" customWidth="1"/>
    <col min="73" max="73" width="33" bestFit="1" customWidth="1"/>
    <col min="74" max="74" width="49.90625" bestFit="1" customWidth="1"/>
    <col min="75" max="75" width="66.36328125" bestFit="1" customWidth="1"/>
    <col min="76" max="76" width="74.81640625" bestFit="1" customWidth="1"/>
    <col min="77" max="77" width="79.36328125" bestFit="1" customWidth="1"/>
    <col min="78" max="78" width="84.90625" bestFit="1" customWidth="1"/>
    <col min="79" max="79" width="35.453125" bestFit="1" customWidth="1"/>
    <col min="80" max="80" width="52.453125" bestFit="1" customWidth="1"/>
    <col min="81" max="81" width="69" bestFit="1" customWidth="1"/>
    <col min="82" max="82" width="77.453125" bestFit="1" customWidth="1"/>
    <col min="83" max="83" width="81.90625" bestFit="1" customWidth="1"/>
    <col min="84" max="84" width="87.36328125" bestFit="1" customWidth="1"/>
    <col min="85" max="85" width="10.7265625" bestFit="1" customWidth="1"/>
    <col min="86" max="86" width="27.6328125" bestFit="1" customWidth="1"/>
    <col min="87" max="87" width="44.26953125" bestFit="1" customWidth="1"/>
    <col min="88" max="88" width="52.7265625" bestFit="1" customWidth="1"/>
    <col min="89" max="89" width="57.26953125" bestFit="1" customWidth="1"/>
    <col min="90" max="90" width="62.7265625" bestFit="1" customWidth="1"/>
    <col min="91" max="91" width="17.26953125" bestFit="1" customWidth="1"/>
    <col min="92" max="92" width="34.1796875" bestFit="1" customWidth="1"/>
    <col min="93" max="93" width="50.7265625" bestFit="1" customWidth="1"/>
    <col min="94" max="94" width="59.1796875" bestFit="1" customWidth="1"/>
    <col min="95" max="95" width="63.6328125" bestFit="1" customWidth="1"/>
    <col min="96" max="96" width="69.26953125" bestFit="1" customWidth="1"/>
    <col min="97" max="97" width="27.36328125" bestFit="1" customWidth="1"/>
    <col min="98" max="98" width="44.453125" bestFit="1" customWidth="1"/>
    <col min="99" max="99" width="60.90625" bestFit="1" customWidth="1"/>
    <col min="100" max="100" width="69.36328125" bestFit="1" customWidth="1"/>
    <col min="101" max="101" width="73.90625" bestFit="1" customWidth="1"/>
    <col min="102" max="102" width="79.36328125" bestFit="1" customWidth="1"/>
    <col min="103" max="103" width="13.36328125" bestFit="1" customWidth="1"/>
    <col min="104" max="104" width="30.26953125" bestFit="1" customWidth="1"/>
    <col min="105" max="105" width="46.7265625" bestFit="1" customWidth="1"/>
    <col min="106" max="106" width="55.1796875" bestFit="1" customWidth="1"/>
    <col min="107" max="107" width="59.7265625" bestFit="1" customWidth="1"/>
    <col min="108" max="108" width="65.26953125" bestFit="1" customWidth="1"/>
    <col min="109" max="109" width="24.90625" bestFit="1" customWidth="1"/>
    <col min="110" max="110" width="41.81640625" bestFit="1" customWidth="1"/>
    <col min="111" max="111" width="58.36328125" bestFit="1" customWidth="1"/>
    <col min="112" max="112" width="66.81640625" bestFit="1" customWidth="1"/>
    <col min="113" max="113" width="71.26953125" bestFit="1" customWidth="1"/>
    <col min="114" max="114" width="76.90625" bestFit="1" customWidth="1"/>
    <col min="115" max="115" width="32.7265625" bestFit="1" customWidth="1"/>
    <col min="116" max="116" width="49.6328125" bestFit="1" customWidth="1"/>
    <col min="117" max="117" width="66.08984375" bestFit="1" customWidth="1"/>
    <col min="118" max="118" width="74.54296875" bestFit="1" customWidth="1"/>
    <col min="119" max="119" width="79.08984375" bestFit="1" customWidth="1"/>
    <col min="120" max="120" width="84.6328125" bestFit="1" customWidth="1"/>
    <col min="121" max="121" width="10.7265625" bestFit="1" customWidth="1"/>
  </cols>
  <sheetData>
    <row r="1" spans="1:9" ht="30.5" customHeight="1" x14ac:dyDescent="0.45">
      <c r="A1" s="145" t="s">
        <v>328</v>
      </c>
      <c r="B1" s="160" t="s">
        <v>452</v>
      </c>
      <c r="C1" s="146" t="s">
        <v>329</v>
      </c>
      <c r="D1" s="148" t="s">
        <v>396</v>
      </c>
      <c r="E1" s="159" t="s">
        <v>449</v>
      </c>
      <c r="F1" s="152" t="s">
        <v>435</v>
      </c>
      <c r="G1" s="152" t="s">
        <v>436</v>
      </c>
      <c r="H1" s="152" t="s">
        <v>433</v>
      </c>
      <c r="I1" s="152" t="s">
        <v>356</v>
      </c>
    </row>
    <row r="2" spans="1:9" ht="15.5" x14ac:dyDescent="0.45">
      <c r="A2" s="147" t="s">
        <v>330</v>
      </c>
      <c r="B2" s="147" t="s">
        <v>358</v>
      </c>
      <c r="C2" s="147" t="s">
        <v>315</v>
      </c>
      <c r="D2" s="149">
        <v>1</v>
      </c>
      <c r="E2" s="149" t="s">
        <v>450</v>
      </c>
      <c r="F2" s="149">
        <f t="shared" ref="F2:G4" si="0">160*12</f>
        <v>1920</v>
      </c>
      <c r="G2" s="149">
        <f t="shared" si="0"/>
        <v>1920</v>
      </c>
      <c r="H2" s="149">
        <f t="shared" ref="H2:H24" si="1">SUM(F2:G2)</f>
        <v>3840</v>
      </c>
      <c r="I2" s="149">
        <f>H2*54</f>
        <v>207360</v>
      </c>
    </row>
    <row r="3" spans="1:9" ht="15.5" x14ac:dyDescent="0.45">
      <c r="A3" s="147" t="s">
        <v>334</v>
      </c>
      <c r="B3" s="147" t="s">
        <v>331</v>
      </c>
      <c r="C3" s="147" t="s">
        <v>316</v>
      </c>
      <c r="D3" s="149">
        <v>1</v>
      </c>
      <c r="E3" s="149" t="s">
        <v>450</v>
      </c>
      <c r="F3" s="149">
        <f t="shared" si="0"/>
        <v>1920</v>
      </c>
      <c r="G3" s="149">
        <f t="shared" si="0"/>
        <v>1920</v>
      </c>
      <c r="H3" s="149">
        <f t="shared" si="1"/>
        <v>3840</v>
      </c>
      <c r="I3" s="149">
        <f t="shared" ref="I3:I23" si="2">H3*54</f>
        <v>207360</v>
      </c>
    </row>
    <row r="4" spans="1:9" ht="15.5" outlineLevel="1" x14ac:dyDescent="0.45">
      <c r="A4" s="147" t="s">
        <v>335</v>
      </c>
      <c r="B4" s="147" t="s">
        <v>459</v>
      </c>
      <c r="C4" s="147" t="s">
        <v>314</v>
      </c>
      <c r="D4" s="149">
        <v>1</v>
      </c>
      <c r="E4" s="149" t="s">
        <v>450</v>
      </c>
      <c r="F4" s="149">
        <f t="shared" si="0"/>
        <v>1920</v>
      </c>
      <c r="G4" s="149">
        <f t="shared" si="0"/>
        <v>1920</v>
      </c>
      <c r="H4" s="149">
        <f t="shared" si="1"/>
        <v>3840</v>
      </c>
      <c r="I4" s="149">
        <f>H4*54</f>
        <v>207360</v>
      </c>
    </row>
    <row r="5" spans="1:9" ht="15.5" outlineLevel="1" x14ac:dyDescent="0.45">
      <c r="A5" s="147" t="s">
        <v>332</v>
      </c>
      <c r="B5" s="147" t="s">
        <v>459</v>
      </c>
      <c r="C5" s="147" t="s">
        <v>317</v>
      </c>
      <c r="D5" s="149">
        <v>0.5</v>
      </c>
      <c r="E5" s="149" t="s">
        <v>450</v>
      </c>
      <c r="F5" s="149">
        <f>160*12/2</f>
        <v>960</v>
      </c>
      <c r="G5" s="149">
        <f>160*12/2</f>
        <v>960</v>
      </c>
      <c r="H5" s="149">
        <f t="shared" si="1"/>
        <v>1920</v>
      </c>
      <c r="I5" s="149">
        <f t="shared" si="2"/>
        <v>103680</v>
      </c>
    </row>
    <row r="6" spans="1:9" ht="15.5" outlineLevel="1" x14ac:dyDescent="0.45">
      <c r="A6" s="147" t="s">
        <v>332</v>
      </c>
      <c r="B6" s="147" t="s">
        <v>198</v>
      </c>
      <c r="C6" s="147" t="s">
        <v>321</v>
      </c>
      <c r="D6" s="149" t="s">
        <v>397</v>
      </c>
      <c r="E6" s="149" t="s">
        <v>450</v>
      </c>
      <c r="F6" s="149">
        <f>160*12/2</f>
        <v>960</v>
      </c>
      <c r="G6" s="149">
        <f>160*12/2</f>
        <v>960</v>
      </c>
      <c r="H6" s="149">
        <f t="shared" si="1"/>
        <v>1920</v>
      </c>
      <c r="I6" s="149">
        <f t="shared" si="2"/>
        <v>103680</v>
      </c>
    </row>
    <row r="7" spans="1:9" ht="15.5" outlineLevel="1" x14ac:dyDescent="0.45">
      <c r="A7" s="147" t="s">
        <v>334</v>
      </c>
      <c r="B7" s="147" t="s">
        <v>198</v>
      </c>
      <c r="C7" s="147" t="s">
        <v>326</v>
      </c>
      <c r="D7" s="149">
        <v>0.3</v>
      </c>
      <c r="E7" s="149" t="s">
        <v>450</v>
      </c>
      <c r="F7" s="149">
        <f>160*12/3</f>
        <v>640</v>
      </c>
      <c r="G7" s="149">
        <f>160*12/3</f>
        <v>640</v>
      </c>
      <c r="H7" s="149">
        <f t="shared" si="1"/>
        <v>1280</v>
      </c>
      <c r="I7" s="149">
        <f t="shared" si="2"/>
        <v>69120</v>
      </c>
    </row>
    <row r="8" spans="1:9" ht="15.5" outlineLevel="1" x14ac:dyDescent="0.45">
      <c r="A8" s="147" t="s">
        <v>334</v>
      </c>
      <c r="B8" s="147" t="s">
        <v>198</v>
      </c>
      <c r="C8" s="147" t="s">
        <v>320</v>
      </c>
      <c r="D8" s="149">
        <v>0.3</v>
      </c>
      <c r="E8" s="149" t="s">
        <v>450</v>
      </c>
      <c r="F8" s="149">
        <f>160*12/3</f>
        <v>640</v>
      </c>
      <c r="G8" s="149">
        <f>160*12/3</f>
        <v>640</v>
      </c>
      <c r="H8" s="149">
        <f t="shared" si="1"/>
        <v>1280</v>
      </c>
      <c r="I8" s="149">
        <f t="shared" si="2"/>
        <v>69120</v>
      </c>
    </row>
    <row r="9" spans="1:9" ht="15.5" outlineLevel="1" x14ac:dyDescent="0.45">
      <c r="A9" s="147" t="s">
        <v>386</v>
      </c>
      <c r="B9" s="147" t="s">
        <v>227</v>
      </c>
      <c r="C9" s="147" t="s">
        <v>398</v>
      </c>
      <c r="D9" s="149">
        <v>1</v>
      </c>
      <c r="E9" s="149" t="s">
        <v>450</v>
      </c>
      <c r="F9" s="149">
        <f t="shared" ref="F9:G17" si="3">160*12</f>
        <v>1920</v>
      </c>
      <c r="G9" s="149">
        <f t="shared" si="3"/>
        <v>1920</v>
      </c>
      <c r="H9" s="149">
        <f t="shared" si="1"/>
        <v>3840</v>
      </c>
      <c r="I9" s="149">
        <f t="shared" si="2"/>
        <v>207360</v>
      </c>
    </row>
    <row r="10" spans="1:9" ht="15.5" outlineLevel="1" x14ac:dyDescent="0.45">
      <c r="A10" s="147" t="s">
        <v>386</v>
      </c>
      <c r="B10" s="147" t="s">
        <v>227</v>
      </c>
      <c r="C10" s="147" t="s">
        <v>318</v>
      </c>
      <c r="D10" s="149">
        <v>1</v>
      </c>
      <c r="E10" s="149" t="s">
        <v>450</v>
      </c>
      <c r="F10" s="149">
        <f t="shared" si="3"/>
        <v>1920</v>
      </c>
      <c r="G10" s="149">
        <f t="shared" si="3"/>
        <v>1920</v>
      </c>
      <c r="H10" s="149">
        <f t="shared" si="1"/>
        <v>3840</v>
      </c>
      <c r="I10" s="149">
        <f t="shared" si="2"/>
        <v>207360</v>
      </c>
    </row>
    <row r="11" spans="1:9" ht="15.5" outlineLevel="1" x14ac:dyDescent="0.45">
      <c r="A11" s="147" t="s">
        <v>386</v>
      </c>
      <c r="B11" s="147" t="s">
        <v>227</v>
      </c>
      <c r="C11" s="147" t="s">
        <v>395</v>
      </c>
      <c r="D11" s="149">
        <v>1</v>
      </c>
      <c r="E11" s="149" t="s">
        <v>451</v>
      </c>
      <c r="F11" s="149">
        <f>160*12</f>
        <v>1920</v>
      </c>
      <c r="G11" s="149">
        <f>160*12</f>
        <v>1920</v>
      </c>
      <c r="H11" s="149">
        <f t="shared" si="1"/>
        <v>3840</v>
      </c>
      <c r="I11" s="149">
        <f>H11*54</f>
        <v>207360</v>
      </c>
    </row>
    <row r="12" spans="1:9" ht="15.5" outlineLevel="1" x14ac:dyDescent="0.45">
      <c r="A12" s="147" t="s">
        <v>333</v>
      </c>
      <c r="B12" s="147" t="s">
        <v>459</v>
      </c>
      <c r="C12" s="147" t="s">
        <v>319</v>
      </c>
      <c r="D12" s="149">
        <v>1</v>
      </c>
      <c r="E12" s="149" t="s">
        <v>450</v>
      </c>
      <c r="F12" s="149">
        <f t="shared" si="3"/>
        <v>1920</v>
      </c>
      <c r="G12" s="149">
        <f t="shared" si="3"/>
        <v>1920</v>
      </c>
      <c r="H12" s="149">
        <f t="shared" si="1"/>
        <v>3840</v>
      </c>
      <c r="I12" s="149">
        <f t="shared" si="2"/>
        <v>207360</v>
      </c>
    </row>
    <row r="13" spans="1:9" ht="15.5" outlineLevel="1" x14ac:dyDescent="0.45">
      <c r="A13" s="147" t="s">
        <v>333</v>
      </c>
      <c r="B13" s="147" t="s">
        <v>459</v>
      </c>
      <c r="C13" s="147" t="s">
        <v>325</v>
      </c>
      <c r="D13" s="149">
        <v>1</v>
      </c>
      <c r="E13" s="149" t="s">
        <v>450</v>
      </c>
      <c r="F13" s="149">
        <f>160*12</f>
        <v>1920</v>
      </c>
      <c r="G13" s="149">
        <f>160*12</f>
        <v>1920</v>
      </c>
      <c r="H13" s="149">
        <f t="shared" si="1"/>
        <v>3840</v>
      </c>
      <c r="I13" s="149">
        <f>H13*54</f>
        <v>207360</v>
      </c>
    </row>
    <row r="14" spans="1:9" ht="15.5" outlineLevel="1" x14ac:dyDescent="0.45">
      <c r="A14" s="147" t="s">
        <v>333</v>
      </c>
      <c r="B14" s="147" t="s">
        <v>459</v>
      </c>
      <c r="C14" s="147" t="s">
        <v>327</v>
      </c>
      <c r="D14" s="149">
        <v>0.5</v>
      </c>
      <c r="E14" s="149" t="s">
        <v>450</v>
      </c>
      <c r="F14" s="149">
        <f>160*12*0.5</f>
        <v>960</v>
      </c>
      <c r="G14" s="149">
        <f>160*12*0.5</f>
        <v>960</v>
      </c>
      <c r="H14" s="149">
        <f t="shared" si="1"/>
        <v>1920</v>
      </c>
      <c r="I14" s="149">
        <f>H14*54</f>
        <v>103680</v>
      </c>
    </row>
    <row r="15" spans="1:9" ht="15.5" outlineLevel="1" x14ac:dyDescent="0.45">
      <c r="A15" s="147" t="s">
        <v>333</v>
      </c>
      <c r="B15" s="147" t="s">
        <v>459</v>
      </c>
      <c r="C15" s="147" t="s">
        <v>339</v>
      </c>
      <c r="D15" s="149">
        <v>0.5</v>
      </c>
      <c r="E15" s="149" t="s">
        <v>450</v>
      </c>
      <c r="F15" s="149">
        <f>160*12*0.5</f>
        <v>960</v>
      </c>
      <c r="G15" s="149">
        <f>160*12*0.5</f>
        <v>960</v>
      </c>
      <c r="H15" s="149">
        <f t="shared" si="1"/>
        <v>1920</v>
      </c>
      <c r="I15" s="149">
        <f>H15*54</f>
        <v>103680</v>
      </c>
    </row>
    <row r="16" spans="1:9" ht="15.5" outlineLevel="1" x14ac:dyDescent="0.45">
      <c r="A16" s="147" t="s">
        <v>333</v>
      </c>
      <c r="B16" s="147" t="s">
        <v>459</v>
      </c>
      <c r="C16" s="147" t="s">
        <v>338</v>
      </c>
      <c r="D16" s="149">
        <v>0.2</v>
      </c>
      <c r="E16" s="149" t="s">
        <v>450</v>
      </c>
      <c r="F16" s="149">
        <f>1*160*12*0.2</f>
        <v>384</v>
      </c>
      <c r="G16" s="149">
        <f>1*160*12*0.2</f>
        <v>384</v>
      </c>
      <c r="H16" s="149">
        <f t="shared" si="1"/>
        <v>768</v>
      </c>
      <c r="I16" s="149">
        <f>H16*54</f>
        <v>41472</v>
      </c>
    </row>
    <row r="17" spans="1:9" ht="15.5" outlineLevel="1" x14ac:dyDescent="0.45">
      <c r="A17" s="147" t="s">
        <v>333</v>
      </c>
      <c r="B17" s="147" t="s">
        <v>459</v>
      </c>
      <c r="C17" s="147" t="s">
        <v>324</v>
      </c>
      <c r="D17" s="149">
        <v>1</v>
      </c>
      <c r="E17" s="149" t="s">
        <v>451</v>
      </c>
      <c r="F17" s="149">
        <f>160*12</f>
        <v>1920</v>
      </c>
      <c r="G17" s="149">
        <f t="shared" si="3"/>
        <v>1920</v>
      </c>
      <c r="H17" s="149">
        <f t="shared" si="1"/>
        <v>3840</v>
      </c>
      <c r="I17" s="149">
        <f t="shared" si="2"/>
        <v>207360</v>
      </c>
    </row>
    <row r="18" spans="1:9" ht="15.5" outlineLevel="1" x14ac:dyDescent="0.45">
      <c r="A18" s="147" t="s">
        <v>336</v>
      </c>
      <c r="B18" s="147" t="s">
        <v>278</v>
      </c>
      <c r="C18" s="147" t="s">
        <v>322</v>
      </c>
      <c r="D18" s="149">
        <v>1</v>
      </c>
      <c r="E18" s="149" t="s">
        <v>450</v>
      </c>
      <c r="F18" s="149">
        <f>160*12</f>
        <v>1920</v>
      </c>
      <c r="G18" s="149">
        <f>160*12</f>
        <v>1920</v>
      </c>
      <c r="H18" s="149">
        <f t="shared" si="1"/>
        <v>3840</v>
      </c>
      <c r="I18" s="149">
        <f t="shared" si="2"/>
        <v>207360</v>
      </c>
    </row>
    <row r="19" spans="1:9" ht="15.5" outlineLevel="1" x14ac:dyDescent="0.45">
      <c r="A19" s="147" t="s">
        <v>336</v>
      </c>
      <c r="B19" s="147" t="s">
        <v>278</v>
      </c>
      <c r="C19" s="147" t="s">
        <v>394</v>
      </c>
      <c r="D19" s="149">
        <v>1</v>
      </c>
      <c r="E19" s="149" t="s">
        <v>451</v>
      </c>
      <c r="F19" s="149">
        <f t="shared" ref="F19:G21" si="4">160*12</f>
        <v>1920</v>
      </c>
      <c r="G19" s="149">
        <f t="shared" si="4"/>
        <v>1920</v>
      </c>
      <c r="H19" s="149">
        <f t="shared" si="1"/>
        <v>3840</v>
      </c>
      <c r="I19" s="149">
        <f t="shared" ref="I19:I21" si="5">H19*54</f>
        <v>207360</v>
      </c>
    </row>
    <row r="20" spans="1:9" ht="15.5" outlineLevel="1" x14ac:dyDescent="0.45">
      <c r="A20" s="147" t="s">
        <v>336</v>
      </c>
      <c r="B20" s="147" t="s">
        <v>278</v>
      </c>
      <c r="C20" s="147" t="s">
        <v>322</v>
      </c>
      <c r="D20" s="149">
        <v>1</v>
      </c>
      <c r="E20" s="149" t="s">
        <v>451</v>
      </c>
      <c r="F20" s="149">
        <f t="shared" si="4"/>
        <v>1920</v>
      </c>
      <c r="G20" s="149">
        <f t="shared" si="4"/>
        <v>1920</v>
      </c>
      <c r="H20" s="149">
        <f t="shared" si="1"/>
        <v>3840</v>
      </c>
      <c r="I20" s="149">
        <f t="shared" si="5"/>
        <v>207360</v>
      </c>
    </row>
    <row r="21" spans="1:9" ht="15.5" outlineLevel="1" x14ac:dyDescent="0.45">
      <c r="A21" s="147" t="s">
        <v>336</v>
      </c>
      <c r="B21" s="147" t="s">
        <v>278</v>
      </c>
      <c r="C21" s="147" t="s">
        <v>322</v>
      </c>
      <c r="D21" s="149">
        <v>1</v>
      </c>
      <c r="E21" s="149" t="s">
        <v>451</v>
      </c>
      <c r="F21" s="149">
        <f t="shared" si="4"/>
        <v>1920</v>
      </c>
      <c r="G21" s="149">
        <f t="shared" si="4"/>
        <v>1920</v>
      </c>
      <c r="H21" s="149">
        <f t="shared" si="1"/>
        <v>3840</v>
      </c>
      <c r="I21" s="149">
        <f t="shared" si="5"/>
        <v>207360</v>
      </c>
    </row>
    <row r="22" spans="1:9" ht="15.5" outlineLevel="1" x14ac:dyDescent="0.45">
      <c r="A22" s="147" t="s">
        <v>337</v>
      </c>
      <c r="B22" s="147" t="s">
        <v>227</v>
      </c>
      <c r="C22" s="147" t="s">
        <v>323</v>
      </c>
      <c r="D22" s="149">
        <v>0.3</v>
      </c>
      <c r="E22" s="149" t="s">
        <v>450</v>
      </c>
      <c r="F22" s="149">
        <f>160*12/3</f>
        <v>640</v>
      </c>
      <c r="G22" s="149">
        <f>160*12/3</f>
        <v>640</v>
      </c>
      <c r="H22" s="149">
        <f t="shared" si="1"/>
        <v>1280</v>
      </c>
      <c r="I22" s="149">
        <f t="shared" si="2"/>
        <v>69120</v>
      </c>
    </row>
    <row r="23" spans="1:9" ht="15.5" outlineLevel="1" x14ac:dyDescent="0.45">
      <c r="A23" s="147" t="s">
        <v>341</v>
      </c>
      <c r="B23" s="147" t="s">
        <v>453</v>
      </c>
      <c r="C23" s="147" t="s">
        <v>342</v>
      </c>
      <c r="D23" s="149">
        <v>0.3</v>
      </c>
      <c r="E23" s="149" t="s">
        <v>450</v>
      </c>
      <c r="F23" s="149">
        <f>1*160*12*0.3</f>
        <v>576</v>
      </c>
      <c r="G23" s="149">
        <f>1*160*12*0.3</f>
        <v>576</v>
      </c>
      <c r="H23" s="149">
        <f t="shared" si="1"/>
        <v>1152</v>
      </c>
      <c r="I23" s="149">
        <f t="shared" si="2"/>
        <v>62208</v>
      </c>
    </row>
    <row r="24" spans="1:9" ht="15.5" outlineLevel="1" x14ac:dyDescent="0.45">
      <c r="A24" s="147" t="s">
        <v>340</v>
      </c>
      <c r="B24" s="147" t="s">
        <v>227</v>
      </c>
      <c r="C24" s="147" t="s">
        <v>312</v>
      </c>
      <c r="D24" s="149"/>
      <c r="E24" s="149" t="s">
        <v>450</v>
      </c>
      <c r="F24" s="149">
        <f>2*160*12</f>
        <v>3840</v>
      </c>
      <c r="G24" s="149">
        <f>2*160*12</f>
        <v>3840</v>
      </c>
      <c r="H24" s="149">
        <f t="shared" si="1"/>
        <v>7680</v>
      </c>
      <c r="I24" s="149">
        <f>H24*30</f>
        <v>230400</v>
      </c>
    </row>
    <row r="25" spans="1:9" ht="15.5" outlineLevel="1" x14ac:dyDescent="0.45">
      <c r="A25" s="147"/>
      <c r="B25" s="147"/>
      <c r="C25" s="151" t="s">
        <v>313</v>
      </c>
      <c r="D25" s="149"/>
      <c r="E25" s="149"/>
      <c r="F25" s="158">
        <f>SUM(F2:F24)</f>
        <v>35520</v>
      </c>
      <c r="G25" s="158">
        <f>SUM(G2:G24)</f>
        <v>35520</v>
      </c>
      <c r="H25" s="158">
        <f>SUM(F25:G25)</f>
        <v>71040</v>
      </c>
      <c r="I25" s="158">
        <f>SUM(I2:I24)</f>
        <v>3651840</v>
      </c>
    </row>
    <row r="27" spans="1:9" ht="15.5" x14ac:dyDescent="0.45">
      <c r="A27" s="203" t="s">
        <v>492</v>
      </c>
      <c r="B27" s="204">
        <v>26</v>
      </c>
    </row>
    <row r="28" spans="1:9" ht="16.5" customHeight="1" x14ac:dyDescent="0.45">
      <c r="A28" s="203" t="s">
        <v>494</v>
      </c>
      <c r="B28" s="205">
        <v>45658</v>
      </c>
    </row>
    <row r="29" spans="1:9" ht="16.5" customHeight="1" x14ac:dyDescent="0.45">
      <c r="A29" s="147"/>
      <c r="B29" s="200"/>
    </row>
    <row r="30" spans="1:9" x14ac:dyDescent="0.35">
      <c r="A30" s="161" t="s">
        <v>454</v>
      </c>
      <c r="B30" t="s">
        <v>458</v>
      </c>
      <c r="C30" t="s">
        <v>456</v>
      </c>
      <c r="D30" t="s">
        <v>457</v>
      </c>
      <c r="E30" s="141"/>
    </row>
    <row r="31" spans="1:9" x14ac:dyDescent="0.35">
      <c r="A31" s="162" t="s">
        <v>331</v>
      </c>
      <c r="B31" s="260">
        <v>1</v>
      </c>
      <c r="C31" s="124">
        <v>3840</v>
      </c>
      <c r="D31" s="191">
        <v>207360</v>
      </c>
    </row>
    <row r="32" spans="1:9" x14ac:dyDescent="0.35">
      <c r="A32" s="189" t="s">
        <v>316</v>
      </c>
      <c r="B32" s="260">
        <v>1</v>
      </c>
      <c r="C32" s="124">
        <v>3840</v>
      </c>
      <c r="D32" s="191">
        <v>207360</v>
      </c>
    </row>
    <row r="33" spans="1:5" x14ac:dyDescent="0.35">
      <c r="A33" s="162" t="s">
        <v>198</v>
      </c>
      <c r="B33" s="260">
        <v>3</v>
      </c>
      <c r="C33" s="124">
        <v>4480</v>
      </c>
      <c r="D33" s="191">
        <v>241920</v>
      </c>
    </row>
    <row r="34" spans="1:5" x14ac:dyDescent="0.35">
      <c r="A34" s="189" t="s">
        <v>326</v>
      </c>
      <c r="B34" s="260">
        <v>1</v>
      </c>
      <c r="C34" s="124">
        <v>1280</v>
      </c>
      <c r="D34" s="191">
        <v>69120</v>
      </c>
    </row>
    <row r="35" spans="1:5" x14ac:dyDescent="0.35">
      <c r="A35" s="189" t="s">
        <v>320</v>
      </c>
      <c r="B35" s="260">
        <v>1</v>
      </c>
      <c r="C35" s="124">
        <v>1280</v>
      </c>
      <c r="D35" s="191">
        <v>69120</v>
      </c>
    </row>
    <row r="36" spans="1:5" x14ac:dyDescent="0.35">
      <c r="A36" s="189" t="s">
        <v>321</v>
      </c>
      <c r="B36" s="260">
        <v>1</v>
      </c>
      <c r="C36" s="124">
        <v>1920</v>
      </c>
      <c r="D36" s="191">
        <v>103680</v>
      </c>
      <c r="E36" s="130"/>
    </row>
    <row r="37" spans="1:5" x14ac:dyDescent="0.35">
      <c r="A37" s="162" t="s">
        <v>453</v>
      </c>
      <c r="B37" s="260">
        <v>1</v>
      </c>
      <c r="C37" s="124">
        <v>1152</v>
      </c>
      <c r="D37" s="191">
        <v>62208</v>
      </c>
    </row>
    <row r="38" spans="1:5" x14ac:dyDescent="0.35">
      <c r="A38" s="189" t="s">
        <v>342</v>
      </c>
      <c r="B38" s="260">
        <v>1</v>
      </c>
      <c r="C38" s="124">
        <v>1152</v>
      </c>
      <c r="D38" s="191">
        <v>62208</v>
      </c>
    </row>
    <row r="39" spans="1:5" x14ac:dyDescent="0.35">
      <c r="A39" s="162" t="s">
        <v>278</v>
      </c>
      <c r="B39" s="260">
        <v>4</v>
      </c>
      <c r="C39" s="124">
        <v>15360</v>
      </c>
      <c r="D39" s="191">
        <v>829440</v>
      </c>
    </row>
    <row r="40" spans="1:5" x14ac:dyDescent="0.35">
      <c r="A40" s="189" t="s">
        <v>394</v>
      </c>
      <c r="B40" s="260">
        <v>1</v>
      </c>
      <c r="C40" s="124">
        <v>3840</v>
      </c>
      <c r="D40" s="191">
        <v>207360</v>
      </c>
    </row>
    <row r="41" spans="1:5" x14ac:dyDescent="0.35">
      <c r="A41" s="189" t="s">
        <v>322</v>
      </c>
      <c r="B41" s="260">
        <v>3</v>
      </c>
      <c r="C41" s="124">
        <v>11520</v>
      </c>
      <c r="D41" s="191">
        <v>622080</v>
      </c>
    </row>
    <row r="42" spans="1:5" x14ac:dyDescent="0.35">
      <c r="A42" s="162" t="s">
        <v>459</v>
      </c>
      <c r="B42" s="260">
        <v>8</v>
      </c>
      <c r="C42" s="124">
        <v>21888</v>
      </c>
      <c r="D42" s="191">
        <v>1181952</v>
      </c>
    </row>
    <row r="43" spans="1:5" x14ac:dyDescent="0.35">
      <c r="A43" s="189" t="s">
        <v>319</v>
      </c>
      <c r="B43" s="260">
        <v>1</v>
      </c>
      <c r="C43" s="124">
        <v>3840</v>
      </c>
      <c r="D43" s="191">
        <v>207360</v>
      </c>
    </row>
    <row r="44" spans="1:5" x14ac:dyDescent="0.35">
      <c r="A44" s="189" t="s">
        <v>317</v>
      </c>
      <c r="B44" s="260">
        <v>1</v>
      </c>
      <c r="C44" s="124">
        <v>1920</v>
      </c>
      <c r="D44" s="191">
        <v>103680</v>
      </c>
    </row>
    <row r="45" spans="1:5" x14ac:dyDescent="0.35">
      <c r="A45" s="189" t="s">
        <v>314</v>
      </c>
      <c r="B45" s="260">
        <v>1</v>
      </c>
      <c r="C45" s="124">
        <v>3840</v>
      </c>
      <c r="D45" s="191">
        <v>207360</v>
      </c>
    </row>
    <row r="46" spans="1:5" x14ac:dyDescent="0.35">
      <c r="A46" s="189" t="s">
        <v>338</v>
      </c>
      <c r="B46" s="260">
        <v>1</v>
      </c>
      <c r="C46" s="124">
        <v>768</v>
      </c>
      <c r="D46" s="191">
        <v>41472</v>
      </c>
    </row>
    <row r="47" spans="1:5" x14ac:dyDescent="0.35">
      <c r="A47" s="189" t="s">
        <v>325</v>
      </c>
      <c r="B47" s="260">
        <v>1</v>
      </c>
      <c r="C47" s="124">
        <v>3840</v>
      </c>
      <c r="D47" s="191">
        <v>207360</v>
      </c>
    </row>
    <row r="48" spans="1:5" x14ac:dyDescent="0.35">
      <c r="A48" s="189" t="s">
        <v>324</v>
      </c>
      <c r="B48" s="260">
        <v>1</v>
      </c>
      <c r="C48" s="124">
        <v>3840</v>
      </c>
      <c r="D48" s="191">
        <v>207360</v>
      </c>
    </row>
    <row r="49" spans="1:4" x14ac:dyDescent="0.35">
      <c r="A49" s="189" t="s">
        <v>327</v>
      </c>
      <c r="B49" s="260">
        <v>1</v>
      </c>
      <c r="C49" s="124">
        <v>1920</v>
      </c>
      <c r="D49" s="191">
        <v>103680</v>
      </c>
    </row>
    <row r="50" spans="1:4" x14ac:dyDescent="0.35">
      <c r="A50" s="189" t="s">
        <v>339</v>
      </c>
      <c r="B50" s="260">
        <v>1</v>
      </c>
      <c r="C50" s="124">
        <v>1920</v>
      </c>
      <c r="D50" s="191">
        <v>103680</v>
      </c>
    </row>
    <row r="51" spans="1:4" x14ac:dyDescent="0.35">
      <c r="A51" s="162" t="s">
        <v>227</v>
      </c>
      <c r="B51" s="260">
        <v>4</v>
      </c>
      <c r="C51" s="124">
        <v>20480</v>
      </c>
      <c r="D51" s="191">
        <v>921600</v>
      </c>
    </row>
    <row r="52" spans="1:4" x14ac:dyDescent="0.35">
      <c r="A52" s="189" t="s">
        <v>312</v>
      </c>
      <c r="B52" s="260"/>
      <c r="C52" s="124">
        <v>7680</v>
      </c>
      <c r="D52" s="191">
        <v>230400</v>
      </c>
    </row>
    <row r="53" spans="1:4" x14ac:dyDescent="0.35">
      <c r="A53" s="189" t="s">
        <v>395</v>
      </c>
      <c r="B53" s="260">
        <v>1</v>
      </c>
      <c r="C53" s="124">
        <v>3840</v>
      </c>
      <c r="D53" s="191">
        <v>207360</v>
      </c>
    </row>
    <row r="54" spans="1:4" x14ac:dyDescent="0.35">
      <c r="A54" s="189" t="s">
        <v>323</v>
      </c>
      <c r="B54" s="260">
        <v>1</v>
      </c>
      <c r="C54" s="124">
        <v>1280</v>
      </c>
      <c r="D54" s="191">
        <v>69120</v>
      </c>
    </row>
    <row r="55" spans="1:4" x14ac:dyDescent="0.35">
      <c r="A55" s="189" t="s">
        <v>318</v>
      </c>
      <c r="B55" s="260">
        <v>1</v>
      </c>
      <c r="C55" s="124">
        <v>3840</v>
      </c>
      <c r="D55" s="191">
        <v>207360</v>
      </c>
    </row>
    <row r="56" spans="1:4" x14ac:dyDescent="0.35">
      <c r="A56" s="189" t="s">
        <v>398</v>
      </c>
      <c r="B56" s="260">
        <v>1</v>
      </c>
      <c r="C56" s="124">
        <v>3840</v>
      </c>
      <c r="D56" s="191">
        <v>207360</v>
      </c>
    </row>
    <row r="57" spans="1:4" x14ac:dyDescent="0.35">
      <c r="A57" s="162" t="s">
        <v>358</v>
      </c>
      <c r="B57" s="260">
        <v>1</v>
      </c>
      <c r="C57" s="124">
        <v>3840</v>
      </c>
      <c r="D57" s="191">
        <v>207360</v>
      </c>
    </row>
    <row r="58" spans="1:4" x14ac:dyDescent="0.35">
      <c r="A58" s="189" t="s">
        <v>315</v>
      </c>
      <c r="B58" s="260">
        <v>1</v>
      </c>
      <c r="C58" s="124">
        <v>3840</v>
      </c>
      <c r="D58" s="191">
        <v>207360</v>
      </c>
    </row>
    <row r="59" spans="1:4" x14ac:dyDescent="0.35">
      <c r="A59" s="162" t="s">
        <v>455</v>
      </c>
      <c r="B59" s="260">
        <v>22</v>
      </c>
      <c r="C59" s="124">
        <v>71040</v>
      </c>
      <c r="D59" s="191">
        <v>3651840</v>
      </c>
    </row>
    <row r="65" spans="1:9" x14ac:dyDescent="0.35">
      <c r="A65" s="161" t="s">
        <v>489</v>
      </c>
      <c r="B65" t="s">
        <v>482</v>
      </c>
      <c r="C65" t="s">
        <v>479</v>
      </c>
      <c r="D65" s="194" t="s">
        <v>490</v>
      </c>
      <c r="E65" s="194" t="s">
        <v>491</v>
      </c>
      <c r="F65"/>
      <c r="G65"/>
      <c r="H65"/>
      <c r="I65"/>
    </row>
    <row r="66" spans="1:9" x14ac:dyDescent="0.35">
      <c r="A66" s="162" t="s">
        <v>459</v>
      </c>
      <c r="B66" s="260">
        <v>17</v>
      </c>
      <c r="C66" s="260">
        <v>12960</v>
      </c>
      <c r="D66" s="111">
        <f>GETPIVOTDATA("Sum of Total Hours",$A$30,"Team",A66)</f>
        <v>21888</v>
      </c>
      <c r="E66" s="124">
        <f>D66-GETPIVOTDATA("Sum of Man-hours",$A$65,"Sub-Activity",A66)</f>
        <v>8928</v>
      </c>
      <c r="F66"/>
      <c r="G66"/>
      <c r="H66"/>
      <c r="I66"/>
    </row>
    <row r="67" spans="1:9" x14ac:dyDescent="0.35">
      <c r="A67" s="189" t="s">
        <v>497</v>
      </c>
      <c r="B67" s="260">
        <v>17</v>
      </c>
      <c r="C67" s="260">
        <v>12960</v>
      </c>
      <c r="D67" s="111" t="e">
        <f t="shared" ref="D67:D69" si="6">GETPIVOTDATA("Sum of Total Hours",$A$30,"Team",A67)</f>
        <v>#REF!</v>
      </c>
      <c r="E67" s="124" t="e">
        <f t="shared" ref="E67:E69" si="7">D67-GETPIVOTDATA("Sum of Man-hours",$A$65,"Sub-Activity",A67)</f>
        <v>#REF!</v>
      </c>
      <c r="F67"/>
      <c r="G67"/>
      <c r="H67"/>
      <c r="I67"/>
    </row>
    <row r="68" spans="1:9" x14ac:dyDescent="0.35">
      <c r="A68" s="162" t="s">
        <v>227</v>
      </c>
      <c r="B68" s="260">
        <v>17</v>
      </c>
      <c r="C68" s="260">
        <v>52800</v>
      </c>
      <c r="D68" s="111">
        <f t="shared" si="6"/>
        <v>20480</v>
      </c>
      <c r="E68" s="124">
        <f t="shared" si="7"/>
        <v>-32320</v>
      </c>
      <c r="F68"/>
      <c r="G68"/>
      <c r="H68"/>
      <c r="I68"/>
    </row>
    <row r="69" spans="1:9" x14ac:dyDescent="0.35">
      <c r="A69" s="162" t="s">
        <v>198</v>
      </c>
      <c r="B69" s="260">
        <v>17</v>
      </c>
      <c r="C69" s="260">
        <v>1760</v>
      </c>
      <c r="D69" s="111">
        <f t="shared" si="6"/>
        <v>4480</v>
      </c>
      <c r="E69" s="124">
        <f t="shared" si="7"/>
        <v>2720</v>
      </c>
      <c r="F69"/>
      <c r="G69"/>
      <c r="H69"/>
      <c r="I69"/>
    </row>
    <row r="70" spans="1:9" x14ac:dyDescent="0.35">
      <c r="A70" s="162" t="s">
        <v>278</v>
      </c>
      <c r="B70" s="260">
        <v>17</v>
      </c>
      <c r="C70" s="260">
        <v>480</v>
      </c>
      <c r="D70" s="201" t="e">
        <f>SUM(D66:D69)</f>
        <v>#REF!</v>
      </c>
      <c r="E70" s="202" t="e">
        <f>SUM(E66:E69)</f>
        <v>#REF!</v>
      </c>
    </row>
    <row r="71" spans="1:9" x14ac:dyDescent="0.35">
      <c r="A71" s="162" t="s">
        <v>455</v>
      </c>
      <c r="B71" s="124">
        <v>68</v>
      </c>
      <c r="C71" s="124">
        <v>68000</v>
      </c>
      <c r="D71" s="141"/>
      <c r="E71" s="141"/>
    </row>
    <row r="72" spans="1:9" x14ac:dyDescent="0.35">
      <c r="D72" s="141"/>
      <c r="E72" s="141"/>
    </row>
    <row r="73" spans="1:9" x14ac:dyDescent="0.35">
      <c r="D73" s="141"/>
      <c r="E73" s="141"/>
    </row>
  </sheetData>
  <phoneticPr fontId="3" type="noConversion"/>
  <conditionalFormatting sqref="E66:E70">
    <cfRule type="cellIs" dxfId="37" priority="2" operator="lessThan">
      <formula>0</formula>
    </cfRule>
  </conditionalFormatting>
  <conditionalFormatting sqref="E66:E70">
    <cfRule type="cellIs" dxfId="36" priority="1" operator="greaterThan">
      <formula>0</formula>
    </cfRule>
  </conditionalFormatting>
  <pageMargins left="0.7" right="0.7" top="0.75" bottom="0.75" header="0.3" footer="0.3"/>
  <pageSetup orientation="portrait" r:id="rId3"/>
  <headerFooter>
    <oddHeader>&amp;R&amp;"Calibri"&amp;14&amp;K71BF44 RESTRICTED&amp;1#_x000D_</oddHeader>
  </headerFooter>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0D43C-4419-4042-B118-5FCAD101867D}">
  <sheetPr codeName="Sheet5"/>
  <dimension ref="A1:E57"/>
  <sheetViews>
    <sheetView workbookViewId="0">
      <selection activeCell="C21" sqref="C21"/>
    </sheetView>
  </sheetViews>
  <sheetFormatPr defaultRowHeight="14.5" x14ac:dyDescent="0.35"/>
  <cols>
    <col min="1" max="2" width="18" customWidth="1"/>
    <col min="3" max="3" width="57" bestFit="1" customWidth="1"/>
    <col min="4" max="4" width="11.54296875" bestFit="1" customWidth="1"/>
    <col min="5" max="5" width="62.1796875" customWidth="1"/>
  </cols>
  <sheetData>
    <row r="1" spans="1:5" ht="15.5" x14ac:dyDescent="0.45">
      <c r="A1" s="148" t="s">
        <v>224</v>
      </c>
      <c r="B1" s="148" t="s">
        <v>0</v>
      </c>
      <c r="C1" s="148" t="s">
        <v>190</v>
      </c>
      <c r="D1" s="148" t="s">
        <v>431</v>
      </c>
      <c r="E1" s="148" t="s">
        <v>437</v>
      </c>
    </row>
    <row r="2" spans="1:5" ht="15.5" x14ac:dyDescent="0.45">
      <c r="A2" t="str">
        <f>Roadmap!A5</f>
        <v>STEP1</v>
      </c>
      <c r="B2" t="str">
        <f>Roadmap!B5</f>
        <v>Functional</v>
      </c>
      <c r="C2" t="str">
        <f>Roadmap!C5</f>
        <v>System to System Integration ICONIS</v>
      </c>
      <c r="D2">
        <f>Roadmap!G5</f>
        <v>6450</v>
      </c>
      <c r="E2" s="147" t="s">
        <v>383</v>
      </c>
    </row>
    <row r="3" spans="1:5" ht="15.5" x14ac:dyDescent="0.45">
      <c r="A3" t="str">
        <f>Roadmap!A10</f>
        <v>STEP1</v>
      </c>
      <c r="B3" t="str">
        <f>Roadmap!B10</f>
        <v>Functional</v>
      </c>
      <c r="C3" t="str">
        <f>Roadmap!C10</f>
        <v>Simplified PEF+enable/Disable</v>
      </c>
      <c r="D3">
        <f>Roadmap!G10</f>
        <v>216</v>
      </c>
      <c r="E3" s="147" t="s">
        <v>383</v>
      </c>
    </row>
    <row r="4" spans="1:5" ht="15.5" x14ac:dyDescent="0.45">
      <c r="A4" t="str">
        <f>Roadmap!A11</f>
        <v>STEP1</v>
      </c>
      <c r="B4" t="str">
        <f>Roadmap!B11</f>
        <v>Functional</v>
      </c>
      <c r="C4" t="str">
        <f>Roadmap!C11</f>
        <v xml:space="preserve">Territory Assignment Areas syncronization </v>
      </c>
      <c r="D4">
        <f>Roadmap!G11</f>
        <v>352</v>
      </c>
      <c r="E4" s="147" t="s">
        <v>383</v>
      </c>
    </row>
    <row r="5" spans="1:5" ht="15.5" x14ac:dyDescent="0.45">
      <c r="A5" t="str">
        <f>Roadmap!A15</f>
        <v>STEP1</v>
      </c>
      <c r="B5" t="str">
        <f>Roadmap!B15</f>
        <v>Functional</v>
      </c>
      <c r="C5" t="str">
        <f>Roadmap!C15</f>
        <v>Digital possession and safety notes</v>
      </c>
      <c r="D5">
        <f>Roadmap!G15</f>
        <v>3412</v>
      </c>
      <c r="E5" s="147" t="s">
        <v>383</v>
      </c>
    </row>
    <row r="6" spans="1:5" ht="15.5" x14ac:dyDescent="0.45">
      <c r="A6" t="str">
        <f>Roadmap!A16</f>
        <v>STEP1</v>
      </c>
      <c r="B6" t="str">
        <f>Roadmap!B16</f>
        <v>Functional</v>
      </c>
      <c r="C6" t="str">
        <f>Roadmap!C16</f>
        <v>Extended PEF</v>
      </c>
      <c r="D6">
        <f>Roadmap!G16</f>
        <v>130.5</v>
      </c>
      <c r="E6" s="147" t="s">
        <v>383</v>
      </c>
    </row>
    <row r="7" spans="1:5" ht="15.5" x14ac:dyDescent="0.45">
      <c r="A7" t="str">
        <f>Roadmap!A17</f>
        <v>STEP1</v>
      </c>
      <c r="B7" t="str">
        <f>Roadmap!B17</f>
        <v>Functional</v>
      </c>
      <c r="C7" t="str">
        <f>Roadmap!C17</f>
        <v>Conflict Detection</v>
      </c>
      <c r="D7">
        <f>Roadmap!G17</f>
        <v>480</v>
      </c>
      <c r="E7" s="147" t="s">
        <v>383</v>
      </c>
    </row>
    <row r="8" spans="1:5" ht="15.5" x14ac:dyDescent="0.45">
      <c r="A8" t="str">
        <f>Roadmap!A8</f>
        <v>STEP2</v>
      </c>
      <c r="B8" t="str">
        <f>Roadmap!B8</f>
        <v>Functional</v>
      </c>
      <c r="C8" t="str">
        <f>Roadmap!C8</f>
        <v xml:space="preserve">light client ICONIS - EBICOS Integration </v>
      </c>
      <c r="D8">
        <f>Roadmap!G8</f>
        <v>560</v>
      </c>
      <c r="E8" s="147" t="s">
        <v>383</v>
      </c>
    </row>
    <row r="9" spans="1:5" ht="15.5" x14ac:dyDescent="0.45">
      <c r="A9" t="str">
        <f>Roadmap!A14</f>
        <v>STEP2</v>
      </c>
      <c r="B9" t="str">
        <f>Roadmap!B14</f>
        <v>Functional</v>
      </c>
      <c r="C9" t="str">
        <f>Roadmap!C14</f>
        <v xml:space="preserve">
TSR indication integration (Digital possession and safety notes) </v>
      </c>
      <c r="D9">
        <f>Roadmap!G14</f>
        <v>160</v>
      </c>
      <c r="E9" s="147" t="s">
        <v>383</v>
      </c>
    </row>
    <row r="10" spans="1:5" ht="15.5" x14ac:dyDescent="0.45">
      <c r="A10" t="str">
        <f>Roadmap!A23</f>
        <v>STEP2</v>
      </c>
      <c r="B10" t="str">
        <f>Roadmap!B23</f>
        <v>3 Nodes Solution</v>
      </c>
      <c r="C10" t="str">
        <f>Roadmap!C23</f>
        <v>BC Offline Services Support</v>
      </c>
      <c r="D10">
        <f>Roadmap!G23</f>
        <v>1984</v>
      </c>
      <c r="E10" s="147" t="s">
        <v>383</v>
      </c>
    </row>
    <row r="11" spans="1:5" ht="15.5" x14ac:dyDescent="0.45">
      <c r="A11" t="str">
        <f>Roadmap!A24</f>
        <v>STEP2</v>
      </c>
      <c r="B11" t="str">
        <f>Roadmap!B24</f>
        <v>3 Nodes Solution</v>
      </c>
      <c r="C11" t="str">
        <f>Roadmap!C24</f>
        <v>BC External Interface Support</v>
      </c>
      <c r="D11">
        <f>Roadmap!G24</f>
        <v>966</v>
      </c>
      <c r="E11" s="147" t="s">
        <v>383</v>
      </c>
    </row>
    <row r="12" spans="1:5" ht="15.5" x14ac:dyDescent="0.45">
      <c r="A12" t="str">
        <f>Roadmap!A25</f>
        <v>STEP2</v>
      </c>
      <c r="B12" t="str">
        <f>Roadmap!B25</f>
        <v>3 Nodes Solution</v>
      </c>
      <c r="C12" t="str">
        <f>Roadmap!C25</f>
        <v>BC Maintenance console update</v>
      </c>
      <c r="D12">
        <f>Roadmap!G25</f>
        <v>3498</v>
      </c>
      <c r="E12" s="147" t="s">
        <v>383</v>
      </c>
    </row>
    <row r="13" spans="1:5" ht="15.5" x14ac:dyDescent="0.45">
      <c r="A13" t="str">
        <f>Roadmap!A27</f>
        <v>STEP2</v>
      </c>
      <c r="B13" t="str">
        <f>Roadmap!B27</f>
        <v>Functional</v>
      </c>
      <c r="C13" t="str">
        <f>Roadmap!C27</f>
        <v>TAC</v>
      </c>
      <c r="D13">
        <f>Roadmap!G27</f>
        <v>1932</v>
      </c>
      <c r="E13" s="147" t="s">
        <v>383</v>
      </c>
    </row>
    <row r="14" spans="1:5" ht="15.5" x14ac:dyDescent="0.45">
      <c r="A14" t="str">
        <f>Roadmap!A28</f>
        <v>STEP2</v>
      </c>
      <c r="B14" t="str">
        <f>Roadmap!B28</f>
        <v>Functional</v>
      </c>
      <c r="C14" t="str">
        <f>Roadmap!C28</f>
        <v>TAPV (PBC)</v>
      </c>
      <c r="D14">
        <f>Roadmap!G28</f>
        <v>1260</v>
      </c>
      <c r="E14" s="147" t="s">
        <v>383</v>
      </c>
    </row>
    <row r="15" spans="1:5" ht="15.5" x14ac:dyDescent="0.45">
      <c r="A15" t="str">
        <f>Roadmap!A30</f>
        <v>STEP2</v>
      </c>
      <c r="B15" t="str">
        <f>Roadmap!B30</f>
        <v>Functional</v>
      </c>
      <c r="C15" t="str">
        <f>Roadmap!C30</f>
        <v>Shunting plan handling</v>
      </c>
      <c r="D15">
        <f>Roadmap!G30</f>
        <v>552</v>
      </c>
      <c r="E15" s="147" t="s">
        <v>383</v>
      </c>
    </row>
    <row r="16" spans="1:5" ht="15.5" x14ac:dyDescent="0.45">
      <c r="A16" t="str">
        <f>Roadmap!A36</f>
        <v>STEP2</v>
      </c>
      <c r="B16" t="str">
        <f>Roadmap!B36</f>
        <v>Functional</v>
      </c>
      <c r="C16" t="str">
        <f>Roadmap!C36</f>
        <v>ERTMS</v>
      </c>
      <c r="D16">
        <f>Roadmap!G36</f>
        <v>0</v>
      </c>
      <c r="E16" s="147" t="s">
        <v>383</v>
      </c>
    </row>
    <row r="17" spans="1:5" ht="15.5" x14ac:dyDescent="0.45">
      <c r="A17" t="str">
        <f>Roadmap!A37</f>
        <v>STEP2</v>
      </c>
      <c r="B17" t="str">
        <f>Roadmap!B37</f>
        <v>Ext. Interface</v>
      </c>
      <c r="C17" t="str">
        <f>Roadmap!C37</f>
        <v>MPK(Shunting Plan)</v>
      </c>
      <c r="D17">
        <f>Roadmap!G37</f>
        <v>600</v>
      </c>
      <c r="E17" s="147" t="s">
        <v>383</v>
      </c>
    </row>
    <row r="18" spans="1:5" ht="15.5" x14ac:dyDescent="0.45">
      <c r="A18" t="str">
        <f>Roadmap!A49</f>
        <v>STEP2</v>
      </c>
      <c r="B18" t="str">
        <f>Roadmap!B49</f>
        <v>Tech tool</v>
      </c>
      <c r="C18" t="str">
        <f>Roadmap!C49</f>
        <v>Bridge Diag. &amp; Log Connector</v>
      </c>
      <c r="D18">
        <f>Roadmap!G49</f>
        <v>648</v>
      </c>
      <c r="E18" s="147" t="s">
        <v>383</v>
      </c>
    </row>
    <row r="19" spans="1:5" ht="15.5" x14ac:dyDescent="0.45">
      <c r="A19" t="str">
        <f>Roadmap!A56</f>
        <v>STEP2</v>
      </c>
      <c r="B19" t="str">
        <f>Roadmap!B56</f>
        <v>3 Nodes Solution</v>
      </c>
      <c r="C19" t="str">
        <f>Roadmap!C56</f>
        <v>BC merged in the main branch</v>
      </c>
      <c r="D19">
        <f>Roadmap!G56</f>
        <v>160</v>
      </c>
      <c r="E19" s="147" t="s">
        <v>383</v>
      </c>
    </row>
    <row r="20" spans="1:5" ht="15.5" x14ac:dyDescent="0.45">
      <c r="A20" t="str">
        <f>Roadmap!A57</f>
        <v>STEP2</v>
      </c>
      <c r="B20" t="str">
        <f>Roadmap!B57</f>
        <v>3 Nodes Solution</v>
      </c>
      <c r="C20" t="str">
        <f>Roadmap!C57</f>
        <v>BC Multi region </v>
      </c>
      <c r="D20">
        <f>Roadmap!G57</f>
        <v>900</v>
      </c>
      <c r="E20" s="147" t="s">
        <v>383</v>
      </c>
    </row>
    <row r="21" spans="1:5" ht="15.5" x14ac:dyDescent="0.45">
      <c r="A21" t="str">
        <f>Roadmap!A60</f>
        <v>STEP2</v>
      </c>
      <c r="B21" t="str">
        <f>Roadmap!B60</f>
        <v>Functional</v>
      </c>
      <c r="C21" t="str">
        <f>Roadmap!C60</f>
        <v>Link Interactions technical offer TBC</v>
      </c>
      <c r="D21">
        <f>Roadmap!G60</f>
        <v>200</v>
      </c>
      <c r="E21" s="147" t="s">
        <v>383</v>
      </c>
    </row>
    <row r="22" spans="1:5" ht="15.5" x14ac:dyDescent="0.45">
      <c r="A22" t="str">
        <f>Roadmap!A6</f>
        <v>Maintenance</v>
      </c>
      <c r="B22" t="str">
        <f>Roadmap!B6</f>
        <v>Functional</v>
      </c>
      <c r="C22" t="str">
        <f>Roadmap!C6</f>
        <v xml:space="preserve"> Management of Krorder Safety Orders</v>
      </c>
      <c r="D22" t="str">
        <f>Roadmap!G6</f>
        <v>TBD</v>
      </c>
      <c r="E22" s="147" t="s">
        <v>383</v>
      </c>
    </row>
    <row r="23" spans="1:5" ht="15.5" x14ac:dyDescent="0.45">
      <c r="A23" t="str">
        <f>Roadmap!A7</f>
        <v>Maintenance</v>
      </c>
      <c r="B23" t="str">
        <f>Roadmap!B7</f>
        <v>Tech tool</v>
      </c>
      <c r="C23" t="str">
        <f>Roadmap!C7</f>
        <v>tech. Tool ICONIS - EBICOS Integration</v>
      </c>
      <c r="D23" t="str">
        <f>Roadmap!G7</f>
        <v>TBD</v>
      </c>
      <c r="E23" s="147" t="s">
        <v>383</v>
      </c>
    </row>
    <row r="24" spans="1:5" ht="15.5" x14ac:dyDescent="0.45">
      <c r="A24" t="str">
        <f>Roadmap!A9</f>
        <v>Maintenance</v>
      </c>
      <c r="B24" t="str">
        <f>Roadmap!B9</f>
        <v>Functional</v>
      </c>
      <c r="C24" t="str">
        <f>Roadmap!C9</f>
        <v>Full client ICONIS - EBICOS Integration</v>
      </c>
      <c r="D24" t="str">
        <f>Roadmap!G9</f>
        <v>TBD</v>
      </c>
      <c r="E24" s="147" t="s">
        <v>383</v>
      </c>
    </row>
    <row r="25" spans="1:5" ht="15.5" x14ac:dyDescent="0.45">
      <c r="A25" t="str">
        <f>Roadmap!A18</f>
        <v>Maintenance</v>
      </c>
      <c r="B25" t="str">
        <f>Roadmap!B18</f>
        <v>Ext. Interface</v>
      </c>
      <c r="C25" t="str">
        <f>Roadmap!C18</f>
        <v>MPK (possession)</v>
      </c>
      <c r="D25">
        <f>Roadmap!G18</f>
        <v>0</v>
      </c>
      <c r="E25" s="147" t="s">
        <v>383</v>
      </c>
    </row>
    <row r="26" spans="1:5" ht="15.5" x14ac:dyDescent="0.45">
      <c r="A26" t="str">
        <f>Roadmap!A19</f>
        <v>Maintenance</v>
      </c>
      <c r="B26" t="str">
        <f>Roadmap!B19</f>
        <v>Ext. Interface</v>
      </c>
      <c r="C26" t="str">
        <f>Roadmap!C19</f>
        <v>Krorder</v>
      </c>
      <c r="D26">
        <f>Roadmap!G19</f>
        <v>0</v>
      </c>
      <c r="E26" s="147" t="s">
        <v>383</v>
      </c>
    </row>
    <row r="27" spans="1:5" ht="15.5" x14ac:dyDescent="0.45">
      <c r="A27" t="str">
        <f>Roadmap!A26</f>
        <v>Maintenance</v>
      </c>
      <c r="B27" t="str">
        <f>Roadmap!B26</f>
        <v>Functional</v>
      </c>
      <c r="C27" t="str">
        <f>Roadmap!C26</f>
        <v>Causal Report</v>
      </c>
      <c r="D27">
        <f>Roadmap!G26</f>
        <v>144.9</v>
      </c>
      <c r="E27" s="147" t="s">
        <v>383</v>
      </c>
    </row>
    <row r="28" spans="1:5" ht="15.5" x14ac:dyDescent="0.45">
      <c r="A28" t="str">
        <f>Roadmap!A29</f>
        <v>Maintenance</v>
      </c>
      <c r="B28" t="str">
        <f>Roadmap!B29</f>
        <v>Functional</v>
      </c>
      <c r="C28" t="str">
        <f>Roadmap!C29</f>
        <v>TAPV (RPC)</v>
      </c>
      <c r="D28">
        <f>Roadmap!G29</f>
        <v>1260</v>
      </c>
      <c r="E28" s="147" t="s">
        <v>383</v>
      </c>
    </row>
    <row r="29" spans="1:5" ht="15.5" x14ac:dyDescent="0.45">
      <c r="A29" t="str">
        <f>Roadmap!A31</f>
        <v>Maintenance</v>
      </c>
      <c r="B29" t="str">
        <f>Roadmap!B31</f>
        <v>Functional</v>
      </c>
      <c r="C29" t="str">
        <f>Roadmap!C31</f>
        <v>Operational notes</v>
      </c>
      <c r="D29">
        <f>Roadmap!G31</f>
        <v>0</v>
      </c>
      <c r="E29" s="147" t="s">
        <v>383</v>
      </c>
    </row>
    <row r="30" spans="1:5" ht="15.5" x14ac:dyDescent="0.45">
      <c r="A30" t="str">
        <f>Roadmap!A32</f>
        <v>Maintenance</v>
      </c>
      <c r="B30" t="str">
        <f>Roadmap!B32</f>
        <v>Functional</v>
      </c>
      <c r="C30" t="str">
        <f>Roadmap!C32</f>
        <v>Conflict Solution</v>
      </c>
      <c r="D30">
        <f>Roadmap!G32</f>
        <v>0</v>
      </c>
      <c r="E30" s="147" t="s">
        <v>383</v>
      </c>
    </row>
    <row r="31" spans="1:5" ht="15.5" x14ac:dyDescent="0.45">
      <c r="A31" t="str">
        <f>Roadmap!A33</f>
        <v>Maintenance</v>
      </c>
      <c r="B31" t="str">
        <f>Roadmap!B33</f>
        <v>Functional</v>
      </c>
      <c r="C31" t="str">
        <f>Roadmap!C33</f>
        <v>PPS</v>
      </c>
      <c r="D31">
        <f>Roadmap!G33</f>
        <v>0</v>
      </c>
      <c r="E31" s="147" t="s">
        <v>383</v>
      </c>
    </row>
    <row r="32" spans="1:5" ht="15.5" x14ac:dyDescent="0.45">
      <c r="A32" t="str">
        <f>Roadmap!A34</f>
        <v>Maintenance</v>
      </c>
      <c r="B32" t="str">
        <f>Roadmap!B34</f>
        <v>Functional</v>
      </c>
      <c r="C32" t="str">
        <f>Roadmap!C34</f>
        <v>Show &amp;Hide</v>
      </c>
      <c r="D32">
        <f>Roadmap!G34</f>
        <v>0</v>
      </c>
      <c r="E32" s="147" t="s">
        <v>383</v>
      </c>
    </row>
    <row r="33" spans="1:5" ht="15.5" x14ac:dyDescent="0.45">
      <c r="A33" t="str">
        <f>Roadmap!A35</f>
        <v>Maintenance</v>
      </c>
      <c r="B33" t="str">
        <f>Roadmap!B35</f>
        <v>Functional</v>
      </c>
      <c r="C33" t="str">
        <f>Roadmap!C35</f>
        <v>Automated routines</v>
      </c>
      <c r="D33">
        <f>Roadmap!G35</f>
        <v>0</v>
      </c>
      <c r="E33" s="147" t="s">
        <v>383</v>
      </c>
    </row>
    <row r="34" spans="1:5" ht="15.5" x14ac:dyDescent="0.45">
      <c r="A34" t="str">
        <f>Roadmap!A38</f>
        <v>Maintenance</v>
      </c>
      <c r="B34" t="str">
        <f>Roadmap!B38</f>
        <v>Ext. Interface</v>
      </c>
      <c r="C34" t="str">
        <f>Roadmap!C38</f>
        <v>ATL</v>
      </c>
      <c r="D34">
        <f>Roadmap!G38</f>
        <v>0</v>
      </c>
      <c r="E34" s="147" t="s">
        <v>383</v>
      </c>
    </row>
    <row r="35" spans="1:5" ht="15.5" x14ac:dyDescent="0.45">
      <c r="A35" t="str">
        <f>Roadmap!A45</f>
        <v>Maintenance</v>
      </c>
      <c r="B35" t="str">
        <f>Roadmap!B45</f>
        <v>Ext. Interface</v>
      </c>
      <c r="C35" t="str">
        <f>Roadmap!C45</f>
        <v>DAS</v>
      </c>
      <c r="D35">
        <f>Roadmap!G45</f>
        <v>0</v>
      </c>
      <c r="E35" s="147" t="s">
        <v>383</v>
      </c>
    </row>
    <row r="36" spans="1:5" ht="15.5" x14ac:dyDescent="0.45">
      <c r="A36" t="str">
        <f>Roadmap!A47</f>
        <v>Maintenance</v>
      </c>
      <c r="B36" t="str">
        <f>Roadmap!B47</f>
        <v>Functional</v>
      </c>
      <c r="C36" t="str">
        <f>Roadmap!C47</f>
        <v>Knowledge of local conditions</v>
      </c>
      <c r="D36">
        <f>Roadmap!G47</f>
        <v>0</v>
      </c>
      <c r="E36" s="147" t="s">
        <v>383</v>
      </c>
    </row>
    <row r="37" spans="1:5" ht="15.5" x14ac:dyDescent="0.45">
      <c r="A37" t="str">
        <f>Roadmap!A48</f>
        <v>Maintenance</v>
      </c>
      <c r="B37" t="str">
        <f>Roadmap!B48</f>
        <v>Tech tool</v>
      </c>
      <c r="C37" t="str">
        <f>Roadmap!C48</f>
        <v>LAT refactoring</v>
      </c>
      <c r="D37">
        <f>Roadmap!G48</f>
        <v>0</v>
      </c>
      <c r="E37" s="147" t="s">
        <v>383</v>
      </c>
    </row>
    <row r="38" spans="1:5" ht="15.5" x14ac:dyDescent="0.45">
      <c r="A38" t="str">
        <f>Roadmap!A50</f>
        <v>Maintenance</v>
      </c>
      <c r="B38" t="str">
        <f>Roadmap!B50</f>
        <v>Tech tool</v>
      </c>
      <c r="C38" t="str">
        <f>Roadmap!C50</f>
        <v>Tech tool adaption</v>
      </c>
      <c r="D38" t="str">
        <f>Roadmap!G50</f>
        <v>TBD</v>
      </c>
      <c r="E38" s="147" t="s">
        <v>383</v>
      </c>
    </row>
    <row r="39" spans="1:5" ht="15.5" x14ac:dyDescent="0.45">
      <c r="A39" t="str">
        <f>Roadmap!A58</f>
        <v>Maintenance</v>
      </c>
      <c r="B39" t="str">
        <f>Roadmap!B58</f>
        <v>Functional</v>
      </c>
      <c r="C39" t="str">
        <f>Roadmap!C58</f>
        <v>Authority related to time</v>
      </c>
      <c r="D39">
        <f>Roadmap!G58</f>
        <v>0</v>
      </c>
      <c r="E39" s="147" t="s">
        <v>383</v>
      </c>
    </row>
    <row r="40" spans="1:5" ht="15.5" x14ac:dyDescent="0.45">
      <c r="A40" t="str">
        <f>Roadmap!A59</f>
        <v>Maintenance</v>
      </c>
      <c r="B40" t="str">
        <f>Roadmap!B59</f>
        <v>Functional</v>
      </c>
      <c r="C40" t="str">
        <f>Roadmap!C59</f>
        <v xml:space="preserve"> Dummy Node Points  technical offer TBC</v>
      </c>
      <c r="D40">
        <f>Roadmap!G59</f>
        <v>0</v>
      </c>
      <c r="E40" s="147" t="s">
        <v>383</v>
      </c>
    </row>
    <row r="41" spans="1:5" ht="15.5" x14ac:dyDescent="0.45">
      <c r="A41" t="str">
        <f>Roadmap!A12</f>
        <v>Removed</v>
      </c>
      <c r="B41" t="str">
        <f>Roadmap!B12</f>
        <v>Functional</v>
      </c>
      <c r="C41" t="str">
        <f>Roadmap!C12</f>
        <v xml:space="preserve">Territory Assignment adaption </v>
      </c>
      <c r="D41">
        <f>Roadmap!G12</f>
        <v>0</v>
      </c>
      <c r="E41" s="147" t="s">
        <v>383</v>
      </c>
    </row>
    <row r="42" spans="1:5" ht="15.5" x14ac:dyDescent="0.45">
      <c r="A42" t="str">
        <f>Roadmap!A20</f>
        <v>Removed</v>
      </c>
      <c r="B42" t="str">
        <f>Roadmap!B20</f>
        <v>Generic Application</v>
      </c>
      <c r="C42">
        <f>Roadmap!C20</f>
        <v>65</v>
      </c>
      <c r="D42">
        <f>Roadmap!G20</f>
        <v>0</v>
      </c>
      <c r="E42" s="147" t="s">
        <v>383</v>
      </c>
    </row>
    <row r="43" spans="1:5" ht="15.5" x14ac:dyDescent="0.45">
      <c r="A43" t="str">
        <f>Roadmap!A21</f>
        <v>Removed</v>
      </c>
      <c r="B43" t="str">
        <f>Roadmap!B21</f>
        <v>RICT</v>
      </c>
      <c r="C43" t="str">
        <f>Roadmap!C21</f>
        <v>HMI mimic automation</v>
      </c>
      <c r="D43">
        <f>Roadmap!G21</f>
        <v>0</v>
      </c>
      <c r="E43" s="147" t="s">
        <v>383</v>
      </c>
    </row>
    <row r="44" spans="1:5" ht="15.5" x14ac:dyDescent="0.45">
      <c r="A44" t="str">
        <f>Roadmap!A22</f>
        <v>Removed</v>
      </c>
      <c r="B44" t="str">
        <f>Roadmap!B22</f>
        <v>RICT</v>
      </c>
      <c r="C44" t="str">
        <f>Roadmap!C22</f>
        <v>Improve automation</v>
      </c>
      <c r="D44">
        <f>Roadmap!G22</f>
        <v>0</v>
      </c>
      <c r="E44" s="147" t="s">
        <v>383</v>
      </c>
    </row>
    <row r="45" spans="1:5" ht="15.5" x14ac:dyDescent="0.45">
      <c r="A45" t="str">
        <f>Roadmap!A39</f>
        <v>Removed</v>
      </c>
      <c r="B45" t="str">
        <f>Roadmap!B39</f>
        <v>Ext. Interface</v>
      </c>
      <c r="C45" t="str">
        <f>Roadmap!C39</f>
        <v>MATS</v>
      </c>
      <c r="D45">
        <f>Roadmap!G39</f>
        <v>0</v>
      </c>
      <c r="E45" s="147" t="s">
        <v>383</v>
      </c>
    </row>
    <row r="46" spans="1:5" ht="15.5" x14ac:dyDescent="0.45">
      <c r="A46" t="str">
        <f>Roadmap!A40</f>
        <v>Removed</v>
      </c>
      <c r="B46" t="str">
        <f>Roadmap!B40</f>
        <v>Ext. Interface</v>
      </c>
      <c r="C46" t="str">
        <f>Roadmap!C40</f>
        <v>GELD</v>
      </c>
      <c r="D46">
        <f>Roadmap!G40</f>
        <v>0</v>
      </c>
      <c r="E46" s="147" t="s">
        <v>383</v>
      </c>
    </row>
    <row r="47" spans="1:5" ht="15.5" x14ac:dyDescent="0.45">
      <c r="A47" t="str">
        <f>Roadmap!A41</f>
        <v>Removed</v>
      </c>
      <c r="B47" t="str">
        <f>Roadmap!B41</f>
        <v>Ext. Interface</v>
      </c>
      <c r="C47" t="str">
        <f>Roadmap!C41</f>
        <v>DPC</v>
      </c>
      <c r="D47">
        <f>Roadmap!G41</f>
        <v>0</v>
      </c>
      <c r="E47" s="147" t="s">
        <v>383</v>
      </c>
    </row>
    <row r="48" spans="1:5" ht="15.5" x14ac:dyDescent="0.45">
      <c r="A48" t="str">
        <f>Roadmap!A42</f>
        <v>Removed</v>
      </c>
      <c r="B48" t="str">
        <f>Roadmap!B42</f>
        <v>Ext. Interface</v>
      </c>
      <c r="C48" t="str">
        <f>Roadmap!C42</f>
        <v>BASUN</v>
      </c>
      <c r="D48">
        <f>Roadmap!G42</f>
        <v>0</v>
      </c>
      <c r="E48" s="147" t="s">
        <v>383</v>
      </c>
    </row>
    <row r="49" spans="1:5" ht="15.5" x14ac:dyDescent="0.45">
      <c r="A49" t="str">
        <f>Roadmap!A43</f>
        <v>Removed</v>
      </c>
      <c r="B49" t="str">
        <f>Roadmap!B43</f>
        <v>Ext. Interface</v>
      </c>
      <c r="C49" t="str">
        <f>Roadmap!C43</f>
        <v>DS-Analysis</v>
      </c>
      <c r="D49">
        <f>Roadmap!G43</f>
        <v>0</v>
      </c>
      <c r="E49" s="147" t="s">
        <v>383</v>
      </c>
    </row>
    <row r="50" spans="1:5" ht="15.5" x14ac:dyDescent="0.45">
      <c r="A50" t="str">
        <f>Roadmap!A44</f>
        <v>Removed</v>
      </c>
      <c r="B50" t="str">
        <f>Roadmap!B44</f>
        <v>Ext. Interface</v>
      </c>
      <c r="C50" t="str">
        <f>Roadmap!C44</f>
        <v>SSC Integration in Bridge</v>
      </c>
      <c r="D50">
        <f>Roadmap!G44</f>
        <v>0</v>
      </c>
      <c r="E50" s="147" t="s">
        <v>383</v>
      </c>
    </row>
    <row r="51" spans="1:5" ht="15.5" x14ac:dyDescent="0.45">
      <c r="A51" t="str">
        <f>Roadmap!A46</f>
        <v>Removed</v>
      </c>
      <c r="B51" t="str">
        <f>Roadmap!B46</f>
        <v>Ext. Interface</v>
      </c>
      <c r="C51" t="str">
        <f>Roadmap!C46</f>
        <v>BildServer</v>
      </c>
      <c r="D51">
        <f>Roadmap!G46</f>
        <v>0</v>
      </c>
      <c r="E51" s="147" t="s">
        <v>383</v>
      </c>
    </row>
    <row r="52" spans="1:5" ht="15.5" x14ac:dyDescent="0.45">
      <c r="A52" t="str">
        <f>Roadmap!A51</f>
        <v>Removed</v>
      </c>
      <c r="B52" t="str">
        <f>Roadmap!B51</f>
        <v>Generic Application</v>
      </c>
      <c r="C52" t="str">
        <f>Roadmap!C51</f>
        <v>M11</v>
      </c>
      <c r="D52">
        <f>Roadmap!G51</f>
        <v>0</v>
      </c>
      <c r="E52" s="147" t="s">
        <v>383</v>
      </c>
    </row>
    <row r="53" spans="1:5" ht="15.5" x14ac:dyDescent="0.45">
      <c r="A53" t="str">
        <f>Roadmap!A52</f>
        <v>Removed</v>
      </c>
      <c r="B53" t="str">
        <f>Roadmap!B52</f>
        <v>Generic Application</v>
      </c>
      <c r="C53" t="str">
        <f>Roadmap!C52</f>
        <v>CST</v>
      </c>
      <c r="D53">
        <f>Roadmap!G52</f>
        <v>0</v>
      </c>
      <c r="E53" s="147" t="s">
        <v>383</v>
      </c>
    </row>
    <row r="54" spans="1:5" ht="15.5" x14ac:dyDescent="0.45">
      <c r="A54" t="str">
        <f>Roadmap!A53</f>
        <v>Removed</v>
      </c>
      <c r="B54" t="str">
        <f>Roadmap!B53</f>
        <v>Generic Application</v>
      </c>
      <c r="C54" t="str">
        <f>Roadmap!C53</f>
        <v>ERTMS</v>
      </c>
      <c r="D54">
        <f>Roadmap!G53</f>
        <v>0</v>
      </c>
      <c r="E54" s="147" t="s">
        <v>383</v>
      </c>
    </row>
    <row r="55" spans="1:5" ht="15.5" x14ac:dyDescent="0.45">
      <c r="A55" t="str">
        <f>Roadmap!A54</f>
        <v>Removed</v>
      </c>
      <c r="B55" t="str">
        <f>Roadmap!B54</f>
        <v>RICT</v>
      </c>
      <c r="C55" t="str">
        <f>Roadmap!C54</f>
        <v>Selective Updates data Segregation</v>
      </c>
      <c r="D55">
        <f>Roadmap!G54</f>
        <v>0</v>
      </c>
      <c r="E55" s="147" t="s">
        <v>383</v>
      </c>
    </row>
    <row r="56" spans="1:5" ht="15.5" x14ac:dyDescent="0.45">
      <c r="A56" t="str">
        <f>Roadmap!A55</f>
        <v>Removed</v>
      </c>
      <c r="B56" t="str">
        <f>Roadmap!B55</f>
        <v>RICT</v>
      </c>
      <c r="C56" t="str">
        <f>Roadmap!C55</f>
        <v>Multiregion</v>
      </c>
      <c r="D56">
        <f>Roadmap!G55</f>
        <v>0</v>
      </c>
      <c r="E56" s="147" t="s">
        <v>383</v>
      </c>
    </row>
    <row r="57" spans="1:5" ht="15.5" x14ac:dyDescent="0.45">
      <c r="A57">
        <f>Roadmap!A13</f>
        <v>0</v>
      </c>
      <c r="B57">
        <f>Roadmap!B13</f>
        <v>0</v>
      </c>
      <c r="C57">
        <f>Roadmap!C13</f>
        <v>0</v>
      </c>
      <c r="D57">
        <f>Roadmap!G13</f>
        <v>160</v>
      </c>
      <c r="E57" s="147" t="s">
        <v>383</v>
      </c>
    </row>
  </sheetData>
  <sortState xmlns:xlrd2="http://schemas.microsoft.com/office/spreadsheetml/2017/richdata2" ref="A2:E57">
    <sortCondition ref="A2:A57" customList="STEP1,STEP2,Maintenance,Removed"/>
  </sortState>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D51A-1103-41C6-8621-1201775C338B}">
  <sheetPr codeName="Sheet13"/>
  <dimension ref="A1:E40"/>
  <sheetViews>
    <sheetView workbookViewId="0">
      <selection activeCell="E2" sqref="E2"/>
    </sheetView>
  </sheetViews>
  <sheetFormatPr defaultRowHeight="14.5" x14ac:dyDescent="0.35"/>
  <cols>
    <col min="1" max="1" width="11.26953125" bestFit="1" customWidth="1"/>
    <col min="2" max="2" width="15" bestFit="1" customWidth="1"/>
    <col min="3" max="3" width="54.6328125" bestFit="1" customWidth="1"/>
    <col min="4" max="4" width="11.54296875" style="141" customWidth="1"/>
    <col min="5" max="5" width="52.1796875" bestFit="1" customWidth="1"/>
  </cols>
  <sheetData>
    <row r="1" spans="1:5" ht="15.5" x14ac:dyDescent="0.45">
      <c r="A1" s="148" t="s">
        <v>224</v>
      </c>
      <c r="B1" s="148" t="s">
        <v>0</v>
      </c>
      <c r="C1" s="148" t="s">
        <v>190</v>
      </c>
      <c r="D1" s="148" t="s">
        <v>431</v>
      </c>
      <c r="E1" s="148" t="s">
        <v>437</v>
      </c>
    </row>
    <row r="2" spans="1:5" ht="15.5" x14ac:dyDescent="0.45">
      <c r="A2" s="147" t="s">
        <v>23</v>
      </c>
      <c r="B2" s="147" t="str" cm="1">
        <f t="array" ref="B2:C7">_xlfn._xlws.FILTER(Roadmap!B1:C60,Roadmap!A1:A60=A2)</f>
        <v>Functional</v>
      </c>
      <c r="C2" s="147" t="str">
        <v>System to System Integration ICONIS</v>
      </c>
      <c r="D2" s="149">
        <f>IFERROR(VLOOKUP(C2,Roadmap!$C$1:$G$60,5,0), "")</f>
        <v>6450</v>
      </c>
      <c r="E2" s="147" t="s">
        <v>383</v>
      </c>
    </row>
    <row r="3" spans="1:5" ht="15.5" x14ac:dyDescent="0.45">
      <c r="A3" s="147" t="s">
        <v>23</v>
      </c>
      <c r="B3" s="147" t="str">
        <v>Functional</v>
      </c>
      <c r="C3" s="147" t="str">
        <v>Simplified PEF+enable/Disable</v>
      </c>
      <c r="D3" s="149">
        <f>IFERROR(VLOOKUP(C3,Roadmap!$C$1:$G$60,5,0), "")</f>
        <v>216</v>
      </c>
      <c r="E3" s="147" t="s">
        <v>383</v>
      </c>
    </row>
    <row r="4" spans="1:5" ht="15.5" x14ac:dyDescent="0.45">
      <c r="A4" s="147" t="s">
        <v>23</v>
      </c>
      <c r="B4" s="147" t="str">
        <v>Functional</v>
      </c>
      <c r="C4" s="147" t="str">
        <v xml:space="preserve">Territory Assignment Areas syncronization </v>
      </c>
      <c r="D4" s="149">
        <f>IFERROR(VLOOKUP(C4,Roadmap!$C$1:$G$60,5,0), "")</f>
        <v>352</v>
      </c>
      <c r="E4" s="147" t="s">
        <v>383</v>
      </c>
    </row>
    <row r="5" spans="1:5" ht="15.5" x14ac:dyDescent="0.45">
      <c r="A5" s="147" t="s">
        <v>23</v>
      </c>
      <c r="B5" s="147" t="str">
        <v>Functional</v>
      </c>
      <c r="C5" s="147" t="str">
        <v>Digital possession and safety notes</v>
      </c>
      <c r="D5" s="149">
        <f>IFERROR(VLOOKUP(C5,Roadmap!$C$1:$G$60,5,0), "")</f>
        <v>3412</v>
      </c>
      <c r="E5" s="147" t="s">
        <v>383</v>
      </c>
    </row>
    <row r="6" spans="1:5" ht="15.5" x14ac:dyDescent="0.45">
      <c r="A6" s="147" t="s">
        <v>23</v>
      </c>
      <c r="B6" s="147" t="str">
        <v>Functional</v>
      </c>
      <c r="C6" s="147" t="str">
        <v>Extended PEF</v>
      </c>
      <c r="D6" s="149">
        <f>IFERROR(VLOOKUP(C6,Roadmap!$C$1:$G$60,5,0), "")</f>
        <v>130.5</v>
      </c>
      <c r="E6" s="147" t="s">
        <v>383</v>
      </c>
    </row>
    <row r="7" spans="1:5" ht="15.5" x14ac:dyDescent="0.45">
      <c r="A7" s="147" t="s">
        <v>23</v>
      </c>
      <c r="B7" s="147" t="str">
        <v>Functional</v>
      </c>
      <c r="C7" s="147" t="str">
        <v>Conflict Detection</v>
      </c>
      <c r="D7" s="149">
        <f>IFERROR(VLOOKUP(C7,Roadmap!$C$1:$G$60,5,0), "")</f>
        <v>480</v>
      </c>
      <c r="E7" s="147" t="s">
        <v>383</v>
      </c>
    </row>
    <row r="8" spans="1:5" ht="15.5" x14ac:dyDescent="0.45">
      <c r="A8" s="147" t="s">
        <v>12</v>
      </c>
      <c r="B8" s="147" t="str" cm="1">
        <f t="array" ref="B8:C21">_xlfn._xlws.FILTER(Roadmap!B1:C60,Roadmap!A1:A60=A8)</f>
        <v>Functional</v>
      </c>
      <c r="C8" s="147" t="str">
        <v xml:space="preserve">light client ICONIS - EBICOS Integration </v>
      </c>
      <c r="D8" s="149">
        <f>IFERROR(VLOOKUP(C8,Roadmap!$C$1:$G$60,5,0), "")</f>
        <v>560</v>
      </c>
      <c r="E8" s="147" t="s">
        <v>383</v>
      </c>
    </row>
    <row r="9" spans="1:5" ht="15.5" x14ac:dyDescent="0.45">
      <c r="A9" s="147" t="s">
        <v>12</v>
      </c>
      <c r="B9" s="147" t="str">
        <v>Functional</v>
      </c>
      <c r="C9" s="147" t="str">
        <v xml:space="preserve">
TSR indication integration (Digital possession and safety notes) </v>
      </c>
      <c r="D9" s="149">
        <f>IFERROR(VLOOKUP(C9,Roadmap!$C$1:$G$60,5,0), "")</f>
        <v>160</v>
      </c>
      <c r="E9" s="147" t="s">
        <v>383</v>
      </c>
    </row>
    <row r="10" spans="1:5" ht="15.5" x14ac:dyDescent="0.45">
      <c r="A10" s="147" t="s">
        <v>12</v>
      </c>
      <c r="B10" s="147" t="str">
        <v>3 Nodes Solution</v>
      </c>
      <c r="C10" s="147" t="str">
        <v>BC Offline Services Support</v>
      </c>
      <c r="D10" s="149">
        <f>IFERROR(VLOOKUP(C10,Roadmap!$C$1:$G$60,5,0), "")</f>
        <v>1984</v>
      </c>
      <c r="E10" s="147" t="s">
        <v>383</v>
      </c>
    </row>
    <row r="11" spans="1:5" ht="15.5" x14ac:dyDescent="0.45">
      <c r="A11" s="147" t="s">
        <v>12</v>
      </c>
      <c r="B11" s="147" t="str">
        <v>3 Nodes Solution</v>
      </c>
      <c r="C11" s="147" t="str">
        <v>BC External Interface Support</v>
      </c>
      <c r="D11" s="149">
        <f>IFERROR(VLOOKUP(C11,Roadmap!$C$1:$G$60,5,0), "")</f>
        <v>966</v>
      </c>
      <c r="E11" s="147" t="s">
        <v>383</v>
      </c>
    </row>
    <row r="12" spans="1:5" ht="15.5" x14ac:dyDescent="0.45">
      <c r="A12" s="147" t="s">
        <v>12</v>
      </c>
      <c r="B12" s="147" t="str">
        <v>3 Nodes Solution</v>
      </c>
      <c r="C12" s="147" t="str">
        <v>BC Maintenance console update</v>
      </c>
      <c r="D12" s="149">
        <f>IFERROR(VLOOKUP(C12,Roadmap!$C$1:$G$60,5,0), "")</f>
        <v>3498</v>
      </c>
      <c r="E12" s="147" t="s">
        <v>383</v>
      </c>
    </row>
    <row r="13" spans="1:5" ht="15.5" x14ac:dyDescent="0.45">
      <c r="A13" s="147" t="s">
        <v>12</v>
      </c>
      <c r="B13" s="147" t="str">
        <v>Functional</v>
      </c>
      <c r="C13" s="147" t="str">
        <v>TAC</v>
      </c>
      <c r="D13" s="149">
        <f>IFERROR(VLOOKUP(C13,Roadmap!$C$1:$G$60,5,0), "")</f>
        <v>1932</v>
      </c>
      <c r="E13" s="147" t="s">
        <v>383</v>
      </c>
    </row>
    <row r="14" spans="1:5" ht="15.5" x14ac:dyDescent="0.45">
      <c r="A14" s="147" t="s">
        <v>12</v>
      </c>
      <c r="B14" s="147" t="str">
        <v>Functional</v>
      </c>
      <c r="C14" s="147" t="str">
        <v>TAPV (PBC)</v>
      </c>
      <c r="D14" s="149">
        <f>IFERROR(VLOOKUP(C14,Roadmap!$C$1:$G$60,5,0), "")</f>
        <v>1260</v>
      </c>
      <c r="E14" s="147" t="s">
        <v>383</v>
      </c>
    </row>
    <row r="15" spans="1:5" ht="15.5" x14ac:dyDescent="0.45">
      <c r="A15" s="147" t="s">
        <v>12</v>
      </c>
      <c r="B15" s="147" t="str">
        <v>Functional</v>
      </c>
      <c r="C15" s="147" t="str">
        <v>Shunting plan handling</v>
      </c>
      <c r="D15" s="149">
        <f>IFERROR(VLOOKUP(C15,Roadmap!$C$1:$G$60,5,0), "")</f>
        <v>552</v>
      </c>
      <c r="E15" s="147" t="s">
        <v>383</v>
      </c>
    </row>
    <row r="16" spans="1:5" ht="15.5" x14ac:dyDescent="0.45">
      <c r="A16" s="147" t="s">
        <v>12</v>
      </c>
      <c r="B16" s="147" t="str">
        <v>Functional</v>
      </c>
      <c r="C16" s="147" t="str">
        <v>ERTMS</v>
      </c>
      <c r="D16" s="149">
        <f>IFERROR(VLOOKUP(C16,Roadmap!$C$1:$G$60,5,0), "")</f>
        <v>0</v>
      </c>
      <c r="E16" s="147" t="s">
        <v>383</v>
      </c>
    </row>
    <row r="17" spans="1:5" ht="15.5" x14ac:dyDescent="0.45">
      <c r="A17" s="147" t="s">
        <v>12</v>
      </c>
      <c r="B17" s="147" t="str">
        <v>Ext. Interface</v>
      </c>
      <c r="C17" s="147" t="str">
        <v>MPK(Shunting Plan)</v>
      </c>
      <c r="D17" s="149">
        <f>IFERROR(VLOOKUP(C17,Roadmap!$C$1:$G$60,5,0), "")</f>
        <v>600</v>
      </c>
      <c r="E17" s="147" t="s">
        <v>383</v>
      </c>
    </row>
    <row r="18" spans="1:5" ht="15.5" x14ac:dyDescent="0.45">
      <c r="A18" s="147" t="s">
        <v>12</v>
      </c>
      <c r="B18" s="147" t="str">
        <v>Tech tool</v>
      </c>
      <c r="C18" s="147" t="str">
        <v>Bridge Diag. &amp; Log Connector</v>
      </c>
      <c r="D18" s="149">
        <f>IFERROR(VLOOKUP(C18,Roadmap!$C$1:$G$60,5,0), "")</f>
        <v>648</v>
      </c>
      <c r="E18" s="147" t="s">
        <v>383</v>
      </c>
    </row>
    <row r="19" spans="1:5" ht="15.5" x14ac:dyDescent="0.45">
      <c r="A19" s="147" t="s">
        <v>12</v>
      </c>
      <c r="B19" s="147" t="str">
        <v>3 Nodes Solution</v>
      </c>
      <c r="C19" s="147" t="str">
        <v>BC merged in the main branch</v>
      </c>
      <c r="D19" s="149">
        <f>IFERROR(VLOOKUP(C19,Roadmap!$C$1:$G$60,5,0), "")</f>
        <v>160</v>
      </c>
      <c r="E19" s="147" t="s">
        <v>383</v>
      </c>
    </row>
    <row r="20" spans="1:5" ht="15.5" x14ac:dyDescent="0.45">
      <c r="A20" s="147" t="s">
        <v>12</v>
      </c>
      <c r="B20" s="147" t="str">
        <v>3 Nodes Solution</v>
      </c>
      <c r="C20" s="147" t="str">
        <v>BC Multi region </v>
      </c>
      <c r="D20" s="149">
        <f>IFERROR(VLOOKUP(C20,Roadmap!$C$1:$G$60,5,0), "")</f>
        <v>900</v>
      </c>
      <c r="E20" s="147" t="s">
        <v>383</v>
      </c>
    </row>
    <row r="21" spans="1:5" ht="15.5" x14ac:dyDescent="0.45">
      <c r="A21" s="147" t="s">
        <v>12</v>
      </c>
      <c r="B21" s="147" t="str">
        <v>Functional</v>
      </c>
      <c r="C21" s="147" t="str">
        <v>Link Interactions technical offer TBC</v>
      </c>
      <c r="D21" s="149">
        <f>IFERROR(VLOOKUP(C21,Roadmap!$C$1:$G$60,5,0), "")</f>
        <v>200</v>
      </c>
      <c r="E21" s="147" t="s">
        <v>383</v>
      </c>
    </row>
    <row r="22" spans="1:5" ht="15.5" x14ac:dyDescent="0.45">
      <c r="A22" s="147" t="s">
        <v>191</v>
      </c>
      <c r="B22" s="147" t="str" cm="1">
        <f t="array" ref="B22:C37">_xlfn._xlws.FILTER(Roadmap!B15:C74,Roadmap!A15:A74=A22)</f>
        <v>Ext. Interface</v>
      </c>
      <c r="C22" t="str">
        <v>MPK (possession)</v>
      </c>
      <c r="D22" s="149">
        <f>IFERROR(VLOOKUP(C22,Roadmap!$C$1:$G$60,5,0), "")</f>
        <v>0</v>
      </c>
      <c r="E22" s="147" t="s">
        <v>383</v>
      </c>
    </row>
    <row r="23" spans="1:5" ht="15.5" x14ac:dyDescent="0.45">
      <c r="A23" s="147" t="s">
        <v>191</v>
      </c>
      <c r="B23" t="str">
        <v>Ext. Interface</v>
      </c>
      <c r="C23" t="str">
        <v>Krorder</v>
      </c>
      <c r="D23" s="149">
        <f>IFERROR(VLOOKUP(C23,Roadmap!$C$1:$G$60,5,0), "")</f>
        <v>0</v>
      </c>
      <c r="E23" s="147" t="s">
        <v>383</v>
      </c>
    </row>
    <row r="24" spans="1:5" ht="15.5" x14ac:dyDescent="0.45">
      <c r="A24" s="147" t="s">
        <v>191</v>
      </c>
      <c r="B24" t="str">
        <v>Functional</v>
      </c>
      <c r="C24" t="str">
        <v>Causal Report</v>
      </c>
      <c r="D24" s="149">
        <f>IFERROR(VLOOKUP(C24,Roadmap!$C$1:$G$60,5,0), "")</f>
        <v>144.9</v>
      </c>
      <c r="E24" s="147" t="s">
        <v>383</v>
      </c>
    </row>
    <row r="25" spans="1:5" ht="15.5" x14ac:dyDescent="0.45">
      <c r="A25" s="147" t="s">
        <v>191</v>
      </c>
      <c r="B25" t="str">
        <v>Functional</v>
      </c>
      <c r="C25" t="str">
        <v>TAPV (RPC)</v>
      </c>
      <c r="D25" s="149">
        <f>IFERROR(VLOOKUP(C25,Roadmap!$C$1:$G$60,5,0), "")</f>
        <v>1260</v>
      </c>
      <c r="E25" s="147" t="s">
        <v>383</v>
      </c>
    </row>
    <row r="26" spans="1:5" ht="15.5" x14ac:dyDescent="0.45">
      <c r="A26" s="147" t="s">
        <v>191</v>
      </c>
      <c r="B26" t="str">
        <v>Functional</v>
      </c>
      <c r="C26" t="str">
        <v>Operational notes</v>
      </c>
      <c r="D26" s="149">
        <f>IFERROR(VLOOKUP(C26,Roadmap!$C$1:$G$60,5,0), "")</f>
        <v>0</v>
      </c>
      <c r="E26" s="147" t="s">
        <v>383</v>
      </c>
    </row>
    <row r="27" spans="1:5" ht="15.5" x14ac:dyDescent="0.45">
      <c r="A27" s="147" t="s">
        <v>191</v>
      </c>
      <c r="B27" t="str">
        <v>Functional</v>
      </c>
      <c r="C27" t="str">
        <v>Conflict Solution</v>
      </c>
      <c r="D27" s="149">
        <f>IFERROR(VLOOKUP(C27,Roadmap!$C$1:$G$60,5,0), "")</f>
        <v>0</v>
      </c>
      <c r="E27" s="147" t="s">
        <v>383</v>
      </c>
    </row>
    <row r="28" spans="1:5" ht="15.5" x14ac:dyDescent="0.45">
      <c r="A28" s="147" t="s">
        <v>191</v>
      </c>
      <c r="B28" t="str">
        <v>Functional</v>
      </c>
      <c r="C28" t="str">
        <v>PPS</v>
      </c>
      <c r="D28" s="149">
        <f>IFERROR(VLOOKUP(C28,Roadmap!$C$1:$G$60,5,0), "")</f>
        <v>0</v>
      </c>
      <c r="E28" s="147" t="s">
        <v>383</v>
      </c>
    </row>
    <row r="29" spans="1:5" ht="15.5" x14ac:dyDescent="0.45">
      <c r="A29" s="147" t="s">
        <v>191</v>
      </c>
      <c r="B29" t="str">
        <v>Functional</v>
      </c>
      <c r="C29" t="str">
        <v>Show &amp;Hide</v>
      </c>
      <c r="D29" s="149">
        <f>IFERROR(VLOOKUP(C29,Roadmap!$C$1:$G$60,5,0), "")</f>
        <v>0</v>
      </c>
      <c r="E29" s="147" t="s">
        <v>383</v>
      </c>
    </row>
    <row r="30" spans="1:5" ht="15.5" x14ac:dyDescent="0.45">
      <c r="A30" s="147" t="s">
        <v>191</v>
      </c>
      <c r="B30" t="str">
        <v>Functional</v>
      </c>
      <c r="C30" t="str">
        <v>Automated routines</v>
      </c>
      <c r="D30" s="149">
        <f>IFERROR(VLOOKUP(C30,Roadmap!$C$1:$G$60,5,0), "")</f>
        <v>0</v>
      </c>
      <c r="E30" s="147" t="s">
        <v>383</v>
      </c>
    </row>
    <row r="31" spans="1:5" ht="15.5" x14ac:dyDescent="0.45">
      <c r="A31" s="147" t="s">
        <v>191</v>
      </c>
      <c r="B31" t="str">
        <v>Ext. Interface</v>
      </c>
      <c r="C31" t="str">
        <v>ATL</v>
      </c>
      <c r="D31" s="149">
        <f>IFERROR(VLOOKUP(C31,Roadmap!$C$1:$G$60,5,0), "")</f>
        <v>0</v>
      </c>
      <c r="E31" s="147" t="s">
        <v>383</v>
      </c>
    </row>
    <row r="32" spans="1:5" ht="15.5" x14ac:dyDescent="0.45">
      <c r="A32" s="147" t="s">
        <v>191</v>
      </c>
      <c r="B32" t="str">
        <v>Ext. Interface</v>
      </c>
      <c r="C32" t="str">
        <v>DAS</v>
      </c>
      <c r="D32" s="149">
        <f>IFERROR(VLOOKUP(C32,Roadmap!$C$1:$G$60,5,0), "")</f>
        <v>0</v>
      </c>
      <c r="E32" s="147" t="s">
        <v>383</v>
      </c>
    </row>
    <row r="33" spans="1:5" ht="15.5" x14ac:dyDescent="0.45">
      <c r="A33" s="147" t="s">
        <v>191</v>
      </c>
      <c r="B33" t="str">
        <v>Functional</v>
      </c>
      <c r="C33" t="str">
        <v>Knowledge of local conditions</v>
      </c>
      <c r="D33" s="149">
        <f>IFERROR(VLOOKUP(C33,Roadmap!$C$1:$G$60,5,0), "")</f>
        <v>0</v>
      </c>
      <c r="E33" s="147" t="s">
        <v>383</v>
      </c>
    </row>
    <row r="34" spans="1:5" ht="15.5" x14ac:dyDescent="0.45">
      <c r="A34" s="147" t="s">
        <v>191</v>
      </c>
      <c r="B34" t="str">
        <v>Tech tool</v>
      </c>
      <c r="C34" t="str">
        <v>LAT refactoring</v>
      </c>
      <c r="D34" s="149">
        <f>IFERROR(VLOOKUP(C34,Roadmap!$C$1:$G$60,5,0), "")</f>
        <v>0</v>
      </c>
      <c r="E34" s="147" t="s">
        <v>383</v>
      </c>
    </row>
    <row r="35" spans="1:5" ht="15.5" x14ac:dyDescent="0.45">
      <c r="A35" s="147" t="s">
        <v>191</v>
      </c>
      <c r="B35" t="str">
        <v>Tech tool</v>
      </c>
      <c r="C35" t="str">
        <v>Tech tool adaption</v>
      </c>
      <c r="D35" s="149" t="str">
        <f>IFERROR(VLOOKUP(C35,Roadmap!$C$1:$G$60,5,0), "")</f>
        <v>TBD</v>
      </c>
      <c r="E35" s="147" t="s">
        <v>383</v>
      </c>
    </row>
    <row r="36" spans="1:5" ht="15.5" x14ac:dyDescent="0.45">
      <c r="A36" s="147" t="s">
        <v>191</v>
      </c>
      <c r="B36" t="str">
        <v>Functional</v>
      </c>
      <c r="C36" t="str">
        <v>Authority related to time</v>
      </c>
      <c r="D36" s="149">
        <f>IFERROR(VLOOKUP(C36,Roadmap!$C$1:$G$60,5,0), "")</f>
        <v>0</v>
      </c>
      <c r="E36" s="147" t="s">
        <v>383</v>
      </c>
    </row>
    <row r="37" spans="1:5" ht="15.5" x14ac:dyDescent="0.45">
      <c r="A37" s="147" t="s">
        <v>191</v>
      </c>
      <c r="B37" t="str">
        <v>Functional</v>
      </c>
      <c r="C37" t="str">
        <v xml:space="preserve"> Dummy Node Points  technical offer TBC</v>
      </c>
      <c r="D37" s="149">
        <f>IFERROR(VLOOKUP(C37,Roadmap!$C$1:$G$60,5,0), "")</f>
        <v>0</v>
      </c>
      <c r="E37" s="147" t="s">
        <v>383</v>
      </c>
    </row>
    <row r="38" spans="1:5" x14ac:dyDescent="0.35">
      <c r="D38"/>
    </row>
    <row r="39" spans="1:5" x14ac:dyDescent="0.35">
      <c r="D39"/>
    </row>
    <row r="40" spans="1:5" x14ac:dyDescent="0.35">
      <c r="D40"/>
    </row>
  </sheetData>
  <phoneticPr fontId="3" type="noConversion"/>
  <pageMargins left="0.7" right="0.7" top="0.75" bottom="0.75" header="0.3" footer="0.3"/>
  <pageSetup orientation="portrait" r:id="rId1"/>
  <headerFooter>
    <oddHeader>&amp;R&amp;"Calibri"&amp;14&amp;K71BF44 RESTRICTED&amp;1#_x000D_</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C5678675-4116-4A36-A9C7-3681B9686C9E}">
          <x14:formula1>
            <xm:f>Menu!$C$1:$C$4</xm:f>
          </x14:formula1>
          <xm:sqref>A2:A37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18B8B-BB8C-4A4E-AE61-9CEB54945EEC}">
  <sheetPr codeName="Sheet9"/>
  <dimension ref="A1:XFB111"/>
  <sheetViews>
    <sheetView workbookViewId="0">
      <selection activeCell="A3" sqref="A3"/>
    </sheetView>
  </sheetViews>
  <sheetFormatPr defaultRowHeight="14.5" x14ac:dyDescent="0.35"/>
  <cols>
    <col min="1" max="1" width="8" customWidth="1"/>
    <col min="2" max="2" width="32.7265625" hidden="1" customWidth="1"/>
    <col min="3" max="3" width="29.54296875" hidden="1" customWidth="1"/>
    <col min="4" max="4" width="20.7265625" hidden="1" customWidth="1"/>
    <col min="5" max="5" width="44.54296875" hidden="1" customWidth="1"/>
    <col min="6" max="6" width="35.1796875" bestFit="1" customWidth="1"/>
    <col min="7" max="7" width="17.54296875" hidden="1" customWidth="1"/>
    <col min="8" max="8" width="9.1796875" style="121" bestFit="1" customWidth="1"/>
    <col min="9" max="9" width="11.1796875" style="137" bestFit="1" customWidth="1"/>
    <col min="10" max="11" width="8.7265625" hidden="1" customWidth="1"/>
    <col min="12" max="12" width="8.7265625" customWidth="1"/>
    <col min="13" max="13" width="54.1796875" bestFit="1" customWidth="1"/>
  </cols>
  <sheetData>
    <row r="1" spans="1:13" x14ac:dyDescent="0.35">
      <c r="A1" t="s">
        <v>224</v>
      </c>
      <c r="B1" t="s">
        <v>197</v>
      </c>
      <c r="C1" t="s">
        <v>277</v>
      </c>
      <c r="D1" t="s">
        <v>198</v>
      </c>
      <c r="E1" t="s">
        <v>2</v>
      </c>
      <c r="F1" t="s">
        <v>190</v>
      </c>
      <c r="G1" t="s">
        <v>196</v>
      </c>
      <c r="H1" s="121" t="s">
        <v>351</v>
      </c>
      <c r="I1" s="137" t="s">
        <v>393</v>
      </c>
      <c r="J1" t="s">
        <v>225</v>
      </c>
      <c r="K1" t="s">
        <v>208</v>
      </c>
      <c r="L1" t="s">
        <v>403</v>
      </c>
      <c r="M1" t="s">
        <v>352</v>
      </c>
    </row>
    <row r="2" spans="1:13" ht="13.5" hidden="1" customHeight="1" x14ac:dyDescent="0.35">
      <c r="G2" s="121"/>
      <c r="H2" s="122"/>
      <c r="I2" s="122"/>
    </row>
    <row r="3" spans="1:13" ht="13.5" customHeight="1" x14ac:dyDescent="0.35">
      <c r="A3" t="s">
        <v>380</v>
      </c>
      <c r="B3" t="s">
        <v>372</v>
      </c>
      <c r="C3" t="s">
        <v>17</v>
      </c>
      <c r="D3" t="s">
        <v>330</v>
      </c>
      <c r="F3" s="122" t="str">
        <f>'Workload old'!F5</f>
        <v>Program Management</v>
      </c>
      <c r="G3" s="121">
        <v>4224</v>
      </c>
      <c r="H3" s="138">
        <f>'Workload old'!H5</f>
        <v>572</v>
      </c>
      <c r="I3" s="139">
        <f>'Workload old'!I5</f>
        <v>247104</v>
      </c>
      <c r="J3">
        <v>1</v>
      </c>
      <c r="K3">
        <v>24</v>
      </c>
      <c r="M3" t="s">
        <v>383</v>
      </c>
    </row>
    <row r="4" spans="1:13" ht="13.5" customHeight="1" x14ac:dyDescent="0.35">
      <c r="A4" t="s">
        <v>380</v>
      </c>
      <c r="B4" t="s">
        <v>373</v>
      </c>
      <c r="C4" t="s">
        <v>17</v>
      </c>
      <c r="D4" t="s">
        <v>331</v>
      </c>
      <c r="F4" s="122" t="str">
        <f>'Workload old'!F6</f>
        <v>PRSAA</v>
      </c>
      <c r="G4" s="121">
        <v>4224</v>
      </c>
      <c r="H4" s="138">
        <f>'Workload old'!H6</f>
        <v>572</v>
      </c>
      <c r="I4" s="139">
        <f>'Workload old'!I6</f>
        <v>247104</v>
      </c>
      <c r="J4">
        <v>1</v>
      </c>
      <c r="K4">
        <v>24</v>
      </c>
      <c r="M4" t="s">
        <v>383</v>
      </c>
    </row>
    <row r="5" spans="1:13" ht="13.5" customHeight="1" x14ac:dyDescent="0.35">
      <c r="A5" t="s">
        <v>380</v>
      </c>
      <c r="B5" t="s">
        <v>374</v>
      </c>
      <c r="C5" t="s">
        <v>17</v>
      </c>
      <c r="D5" t="s">
        <v>357</v>
      </c>
      <c r="F5" s="122" t="str">
        <f>'Workload old'!F7</f>
        <v>Technical Leader</v>
      </c>
      <c r="G5" s="121">
        <v>4224</v>
      </c>
      <c r="H5" s="138">
        <f>'Workload old'!H7</f>
        <v>572</v>
      </c>
      <c r="I5" s="139">
        <f>'Workload old'!I7</f>
        <v>247104</v>
      </c>
      <c r="J5">
        <v>1</v>
      </c>
      <c r="K5">
        <v>24</v>
      </c>
      <c r="M5" t="s">
        <v>383</v>
      </c>
    </row>
    <row r="6" spans="1:13" ht="13.5" customHeight="1" x14ac:dyDescent="0.35">
      <c r="A6" t="s">
        <v>23</v>
      </c>
      <c r="C6" t="s">
        <v>17</v>
      </c>
      <c r="D6" t="s">
        <v>221</v>
      </c>
      <c r="E6" t="s">
        <v>233</v>
      </c>
      <c r="F6" s="122" t="str">
        <f>'Workload old'!F8</f>
        <v>System to System Integration ICONIS</v>
      </c>
      <c r="G6" s="122">
        <f>'Workload old'!G8</f>
        <v>6850</v>
      </c>
      <c r="H6" s="138">
        <f>'Workload old'!H8</f>
        <v>856.25</v>
      </c>
      <c r="I6" s="139">
        <f>'Workload old'!I8</f>
        <v>369900</v>
      </c>
      <c r="J6">
        <v>1</v>
      </c>
      <c r="K6">
        <v>42.8125</v>
      </c>
      <c r="M6" t="s">
        <v>383</v>
      </c>
    </row>
    <row r="7" spans="1:13" ht="13.5" hidden="1" customHeight="1" x14ac:dyDescent="0.35">
      <c r="A7" t="s">
        <v>23</v>
      </c>
      <c r="B7" t="s">
        <v>360</v>
      </c>
      <c r="C7" t="s">
        <v>198</v>
      </c>
      <c r="D7" t="s">
        <v>221</v>
      </c>
      <c r="F7" t="s">
        <v>200</v>
      </c>
      <c r="G7" s="121">
        <v>400</v>
      </c>
      <c r="H7" s="122">
        <v>968</v>
      </c>
      <c r="I7" s="122"/>
      <c r="J7">
        <v>1</v>
      </c>
      <c r="K7">
        <v>2.5</v>
      </c>
    </row>
    <row r="8" spans="1:13" ht="13.5" hidden="1" customHeight="1" x14ac:dyDescent="0.35">
      <c r="A8" t="s">
        <v>23</v>
      </c>
      <c r="B8" t="s">
        <v>360</v>
      </c>
      <c r="C8" t="s">
        <v>198</v>
      </c>
      <c r="D8" t="s">
        <v>221</v>
      </c>
      <c r="F8" t="s">
        <v>207</v>
      </c>
      <c r="G8" s="121">
        <v>500</v>
      </c>
      <c r="H8" s="122">
        <v>352</v>
      </c>
      <c r="I8" s="122"/>
      <c r="J8">
        <v>1</v>
      </c>
      <c r="K8">
        <v>3.125</v>
      </c>
    </row>
    <row r="9" spans="1:13" ht="13.5" hidden="1" customHeight="1" x14ac:dyDescent="0.35">
      <c r="A9" t="s">
        <v>23</v>
      </c>
      <c r="B9" t="s">
        <v>361</v>
      </c>
      <c r="C9" t="s">
        <v>198</v>
      </c>
      <c r="D9" t="s">
        <v>221</v>
      </c>
      <c r="F9" t="s">
        <v>228</v>
      </c>
      <c r="G9" s="121">
        <v>800</v>
      </c>
      <c r="H9" s="122">
        <v>704</v>
      </c>
      <c r="I9" s="122"/>
      <c r="J9">
        <v>3</v>
      </c>
      <c r="K9">
        <v>1.6666666666666667</v>
      </c>
    </row>
    <row r="10" spans="1:13" ht="13.5" hidden="1" customHeight="1" x14ac:dyDescent="0.35">
      <c r="A10" t="s">
        <v>23</v>
      </c>
      <c r="B10" t="s">
        <v>361</v>
      </c>
      <c r="C10" t="s">
        <v>148</v>
      </c>
      <c r="D10" t="s">
        <v>221</v>
      </c>
      <c r="F10" t="s">
        <v>229</v>
      </c>
      <c r="G10" s="121">
        <v>1600</v>
      </c>
      <c r="H10" s="122">
        <v>440</v>
      </c>
      <c r="I10" s="122"/>
      <c r="J10">
        <v>3</v>
      </c>
      <c r="K10">
        <v>3.3333333333333335</v>
      </c>
    </row>
    <row r="11" spans="1:13" ht="13.5" hidden="1" customHeight="1" x14ac:dyDescent="0.35">
      <c r="A11" t="s">
        <v>23</v>
      </c>
      <c r="B11" t="s">
        <v>263</v>
      </c>
      <c r="C11" t="s">
        <v>279</v>
      </c>
      <c r="D11" t="s">
        <v>221</v>
      </c>
      <c r="F11" t="s">
        <v>248</v>
      </c>
      <c r="G11" s="121">
        <v>0</v>
      </c>
      <c r="H11" s="122">
        <v>176</v>
      </c>
      <c r="I11" s="122"/>
      <c r="K11">
        <v>0</v>
      </c>
    </row>
    <row r="12" spans="1:13" ht="13.5" hidden="1" customHeight="1" x14ac:dyDescent="0.35">
      <c r="A12" t="s">
        <v>23</v>
      </c>
      <c r="B12" t="s">
        <v>361</v>
      </c>
      <c r="C12" t="s">
        <v>148</v>
      </c>
      <c r="D12" t="s">
        <v>221</v>
      </c>
      <c r="F12" t="s">
        <v>201</v>
      </c>
      <c r="G12" s="121">
        <v>700</v>
      </c>
      <c r="H12" s="122">
        <v>154</v>
      </c>
      <c r="I12" s="122"/>
      <c r="J12">
        <v>2</v>
      </c>
      <c r="K12">
        <v>2.1875</v>
      </c>
    </row>
    <row r="13" spans="1:13" ht="13.5" hidden="1" customHeight="1" x14ac:dyDescent="0.35">
      <c r="A13" t="s">
        <v>23</v>
      </c>
      <c r="B13" t="s">
        <v>361</v>
      </c>
      <c r="C13" t="s">
        <v>148</v>
      </c>
      <c r="D13" t="s">
        <v>221</v>
      </c>
      <c r="F13" t="s">
        <v>202</v>
      </c>
      <c r="G13" s="121">
        <v>350</v>
      </c>
      <c r="H13" s="122">
        <v>308</v>
      </c>
      <c r="I13" s="122"/>
      <c r="J13">
        <v>1</v>
      </c>
      <c r="K13">
        <v>2.1875</v>
      </c>
    </row>
    <row r="14" spans="1:13" ht="13.5" hidden="1" customHeight="1" x14ac:dyDescent="0.35">
      <c r="A14" t="s">
        <v>23</v>
      </c>
      <c r="B14" t="s">
        <v>244</v>
      </c>
      <c r="C14" t="s">
        <v>278</v>
      </c>
      <c r="D14" t="s">
        <v>221</v>
      </c>
      <c r="F14" t="s">
        <v>203</v>
      </c>
      <c r="G14" s="121">
        <v>200</v>
      </c>
      <c r="H14" s="122">
        <v>2090</v>
      </c>
      <c r="I14" s="122"/>
      <c r="J14">
        <v>1</v>
      </c>
      <c r="K14">
        <v>1.25</v>
      </c>
    </row>
    <row r="15" spans="1:13" ht="13.5" hidden="1" customHeight="1" x14ac:dyDescent="0.35">
      <c r="A15" t="s">
        <v>23</v>
      </c>
      <c r="B15" t="s">
        <v>244</v>
      </c>
      <c r="C15" t="s">
        <v>278</v>
      </c>
      <c r="D15" t="s">
        <v>221</v>
      </c>
      <c r="F15" t="s">
        <v>204</v>
      </c>
      <c r="G15" s="121">
        <v>400</v>
      </c>
      <c r="H15" s="122">
        <v>132</v>
      </c>
      <c r="I15" s="122"/>
      <c r="J15">
        <v>4</v>
      </c>
      <c r="K15">
        <v>2</v>
      </c>
    </row>
    <row r="16" spans="1:13" ht="13.5" hidden="1" customHeight="1" x14ac:dyDescent="0.35">
      <c r="A16" t="s">
        <v>23</v>
      </c>
      <c r="B16" t="s">
        <v>362</v>
      </c>
      <c r="C16" t="s">
        <v>278</v>
      </c>
      <c r="D16" t="s">
        <v>221</v>
      </c>
      <c r="F16" t="s">
        <v>205</v>
      </c>
      <c r="G16" s="121">
        <v>400</v>
      </c>
      <c r="H16" s="122">
        <v>1144</v>
      </c>
      <c r="I16" s="122"/>
      <c r="J16">
        <v>4</v>
      </c>
      <c r="K16">
        <v>2</v>
      </c>
    </row>
    <row r="17" spans="1:13" ht="13.5" hidden="1" customHeight="1" x14ac:dyDescent="0.35">
      <c r="A17" t="s">
        <v>23</v>
      </c>
      <c r="B17" t="s">
        <v>379</v>
      </c>
      <c r="C17" t="s">
        <v>280</v>
      </c>
      <c r="D17" t="s">
        <v>221</v>
      </c>
      <c r="F17" t="s">
        <v>206</v>
      </c>
      <c r="G17" s="121">
        <v>500</v>
      </c>
      <c r="H17" s="122">
        <v>110</v>
      </c>
      <c r="I17" s="122"/>
      <c r="J17">
        <v>2</v>
      </c>
      <c r="K17">
        <v>1.5625</v>
      </c>
    </row>
    <row r="18" spans="1:13" ht="13.5" hidden="1" customHeight="1" x14ac:dyDescent="0.35">
      <c r="A18" t="s">
        <v>23</v>
      </c>
      <c r="B18" t="s">
        <v>379</v>
      </c>
      <c r="C18" t="s">
        <v>280</v>
      </c>
      <c r="D18" t="s">
        <v>221</v>
      </c>
      <c r="F18" t="s">
        <v>199</v>
      </c>
      <c r="G18" s="121">
        <v>1000</v>
      </c>
      <c r="H18" s="122">
        <v>125</v>
      </c>
      <c r="I18" s="122"/>
      <c r="J18">
        <v>4</v>
      </c>
      <c r="K18">
        <v>1.5625</v>
      </c>
    </row>
    <row r="19" spans="1:13" ht="13.5" customHeight="1" x14ac:dyDescent="0.35">
      <c r="A19" t="s">
        <v>23</v>
      </c>
      <c r="F19" s="122" t="str">
        <f>'Workload old'!F21</f>
        <v>Digital possession + Safety Notes</v>
      </c>
      <c r="G19" s="121"/>
      <c r="H19" s="138">
        <f>'Workload old'!H21</f>
        <v>858</v>
      </c>
      <c r="I19" s="139">
        <f>'Workload old'!I21</f>
        <v>370656</v>
      </c>
      <c r="M19" t="s">
        <v>383</v>
      </c>
    </row>
    <row r="20" spans="1:13" ht="13.5" customHeight="1" x14ac:dyDescent="0.35">
      <c r="A20" t="s">
        <v>23</v>
      </c>
      <c r="C20" t="s">
        <v>17</v>
      </c>
      <c r="D20" t="s">
        <v>222</v>
      </c>
      <c r="E20" t="s">
        <v>234</v>
      </c>
      <c r="F20" s="122" t="str">
        <f>'Workload old'!F27</f>
        <v>Conflict Detection</v>
      </c>
      <c r="G20" s="121">
        <v>7744</v>
      </c>
      <c r="H20" s="138">
        <f>'Workload old'!H27</f>
        <v>396</v>
      </c>
      <c r="I20" s="139">
        <f>'Workload old'!I27</f>
        <v>171072</v>
      </c>
      <c r="J20">
        <v>11</v>
      </c>
      <c r="K20">
        <v>15</v>
      </c>
      <c r="M20" t="s">
        <v>383</v>
      </c>
    </row>
    <row r="21" spans="1:13" ht="13.5" hidden="1" customHeight="1" x14ac:dyDescent="0.35">
      <c r="A21" t="s">
        <v>23</v>
      </c>
      <c r="B21" t="s">
        <v>360</v>
      </c>
      <c r="C21" t="s">
        <v>198</v>
      </c>
      <c r="D21" t="s">
        <v>222</v>
      </c>
      <c r="F21" t="s">
        <v>207</v>
      </c>
      <c r="G21" s="121">
        <v>704</v>
      </c>
      <c r="H21" s="122">
        <v>88</v>
      </c>
      <c r="I21" s="122"/>
      <c r="J21">
        <v>2</v>
      </c>
      <c r="K21">
        <v>2</v>
      </c>
    </row>
    <row r="22" spans="1:13" ht="13.5" hidden="1" customHeight="1" x14ac:dyDescent="0.35">
      <c r="A22" t="s">
        <v>23</v>
      </c>
      <c r="B22" t="s">
        <v>364</v>
      </c>
      <c r="C22" t="s">
        <v>148</v>
      </c>
      <c r="D22" t="s">
        <v>222</v>
      </c>
      <c r="F22" t="s">
        <v>229</v>
      </c>
      <c r="G22" s="121">
        <v>3168</v>
      </c>
      <c r="H22" s="122">
        <v>396</v>
      </c>
      <c r="I22" s="122"/>
      <c r="J22">
        <v>3</v>
      </c>
      <c r="K22">
        <v>6</v>
      </c>
    </row>
    <row r="23" spans="1:13" ht="13.5" hidden="1" customHeight="1" x14ac:dyDescent="0.35">
      <c r="A23" t="s">
        <v>23</v>
      </c>
      <c r="B23" t="s">
        <v>378</v>
      </c>
      <c r="C23" t="s">
        <v>148</v>
      </c>
      <c r="D23" t="s">
        <v>222</v>
      </c>
      <c r="F23" t="s">
        <v>227</v>
      </c>
      <c r="G23" s="121">
        <v>1056</v>
      </c>
      <c r="H23" s="122">
        <v>132</v>
      </c>
      <c r="I23" s="122"/>
      <c r="J23">
        <v>2</v>
      </c>
      <c r="K23">
        <v>3</v>
      </c>
    </row>
    <row r="24" spans="1:13" ht="13.5" hidden="1" customHeight="1" x14ac:dyDescent="0.35">
      <c r="A24" t="s">
        <v>23</v>
      </c>
      <c r="B24" t="s">
        <v>263</v>
      </c>
      <c r="C24" t="s">
        <v>279</v>
      </c>
      <c r="D24" t="s">
        <v>222</v>
      </c>
      <c r="F24" t="s">
        <v>248</v>
      </c>
      <c r="G24" s="121">
        <v>0</v>
      </c>
      <c r="H24" s="122">
        <v>0</v>
      </c>
      <c r="I24" s="122"/>
      <c r="K24">
        <v>0</v>
      </c>
    </row>
    <row r="25" spans="1:13" ht="13.5" hidden="1" customHeight="1" x14ac:dyDescent="0.35">
      <c r="A25" t="s">
        <v>23</v>
      </c>
      <c r="B25" t="s">
        <v>244</v>
      </c>
      <c r="C25" t="s">
        <v>278</v>
      </c>
      <c r="D25" t="s">
        <v>222</v>
      </c>
      <c r="F25" t="s">
        <v>204</v>
      </c>
      <c r="G25" s="121">
        <v>2816</v>
      </c>
      <c r="H25" s="122">
        <v>352</v>
      </c>
      <c r="I25" s="122"/>
      <c r="J25">
        <v>4</v>
      </c>
      <c r="K25">
        <v>4</v>
      </c>
    </row>
    <row r="26" spans="1:13" ht="13.5" hidden="1" customHeight="1" x14ac:dyDescent="0.35">
      <c r="A26" t="s">
        <v>23</v>
      </c>
      <c r="B26" t="s">
        <v>379</v>
      </c>
      <c r="C26" t="s">
        <v>280</v>
      </c>
      <c r="D26" t="s">
        <v>222</v>
      </c>
      <c r="F26" t="s">
        <v>206</v>
      </c>
      <c r="G26" s="121">
        <v>0</v>
      </c>
      <c r="H26" s="122">
        <v>0</v>
      </c>
      <c r="I26" s="122"/>
      <c r="J26">
        <v>0</v>
      </c>
      <c r="K26">
        <v>0</v>
      </c>
    </row>
    <row r="27" spans="1:13" ht="13.5" hidden="1" customHeight="1" x14ac:dyDescent="0.35">
      <c r="A27" t="s">
        <v>23</v>
      </c>
      <c r="B27" t="s">
        <v>379</v>
      </c>
      <c r="C27" t="s">
        <v>280</v>
      </c>
      <c r="D27" t="s">
        <v>222</v>
      </c>
      <c r="F27" t="s">
        <v>199</v>
      </c>
      <c r="G27" s="121">
        <v>0</v>
      </c>
      <c r="H27" s="122">
        <v>0</v>
      </c>
      <c r="I27" s="122"/>
      <c r="J27">
        <v>0</v>
      </c>
      <c r="K27">
        <v>0</v>
      </c>
    </row>
    <row r="28" spans="1:13" ht="13.5" customHeight="1" x14ac:dyDescent="0.35">
      <c r="A28" t="s">
        <v>23</v>
      </c>
      <c r="C28" t="s">
        <v>17</v>
      </c>
      <c r="D28" t="s">
        <v>223</v>
      </c>
      <c r="E28" t="s">
        <v>235</v>
      </c>
      <c r="F28" t="str">
        <f>'Workload old'!F33</f>
        <v xml:space="preserve">Territory Assignment Areas syncronization </v>
      </c>
      <c r="G28" s="121">
        <v>2072</v>
      </c>
      <c r="H28" s="138">
        <f>'Workload old'!H33</f>
        <v>88</v>
      </c>
      <c r="I28" s="139">
        <f>'Workload old'!I33</f>
        <v>38016</v>
      </c>
      <c r="J28">
        <v>11</v>
      </c>
      <c r="K28">
        <v>6</v>
      </c>
      <c r="M28" t="s">
        <v>383</v>
      </c>
    </row>
    <row r="29" spans="1:13" ht="13.5" hidden="1" customHeight="1" x14ac:dyDescent="0.35">
      <c r="A29" t="s">
        <v>23</v>
      </c>
      <c r="B29" t="s">
        <v>360</v>
      </c>
      <c r="C29" t="s">
        <v>198</v>
      </c>
      <c r="D29" t="s">
        <v>223</v>
      </c>
      <c r="F29" t="s">
        <v>207</v>
      </c>
      <c r="G29" s="121">
        <v>144</v>
      </c>
      <c r="H29" s="122">
        <v>44</v>
      </c>
      <c r="I29" s="122"/>
      <c r="J29">
        <v>2</v>
      </c>
      <c r="K29">
        <v>1</v>
      </c>
    </row>
    <row r="30" spans="1:13" ht="13.5" hidden="1" customHeight="1" x14ac:dyDescent="0.35">
      <c r="A30" t="s">
        <v>23</v>
      </c>
      <c r="B30" t="s">
        <v>365</v>
      </c>
      <c r="C30" t="s">
        <v>148</v>
      </c>
      <c r="D30" t="s">
        <v>223</v>
      </c>
      <c r="F30" t="s">
        <v>229</v>
      </c>
      <c r="G30" s="121">
        <v>1056</v>
      </c>
      <c r="H30" s="122">
        <v>132</v>
      </c>
      <c r="I30" s="122"/>
      <c r="J30">
        <v>3</v>
      </c>
      <c r="K30">
        <v>2</v>
      </c>
    </row>
    <row r="31" spans="1:13" ht="13.5" hidden="1" customHeight="1" x14ac:dyDescent="0.35">
      <c r="A31" t="s">
        <v>23</v>
      </c>
      <c r="B31" t="s">
        <v>378</v>
      </c>
      <c r="C31" t="s">
        <v>148</v>
      </c>
      <c r="D31" t="s">
        <v>223</v>
      </c>
      <c r="F31" t="s">
        <v>227</v>
      </c>
      <c r="G31" s="121">
        <v>704</v>
      </c>
      <c r="H31" s="122">
        <v>88</v>
      </c>
      <c r="I31" s="122"/>
      <c r="J31">
        <v>2</v>
      </c>
      <c r="K31">
        <v>2</v>
      </c>
    </row>
    <row r="32" spans="1:13" ht="13.5" hidden="1" customHeight="1" x14ac:dyDescent="0.35">
      <c r="A32" t="s">
        <v>23</v>
      </c>
      <c r="B32" t="s">
        <v>263</v>
      </c>
      <c r="C32" t="s">
        <v>279</v>
      </c>
      <c r="D32" t="s">
        <v>223</v>
      </c>
      <c r="F32" t="s">
        <v>248</v>
      </c>
      <c r="G32" s="121">
        <v>0</v>
      </c>
      <c r="H32" s="122">
        <v>0</v>
      </c>
      <c r="I32" s="122"/>
      <c r="K32">
        <v>0</v>
      </c>
    </row>
    <row r="33" spans="1:13" ht="13.5" hidden="1" customHeight="1" x14ac:dyDescent="0.35">
      <c r="A33" t="s">
        <v>23</v>
      </c>
      <c r="B33" t="s">
        <v>244</v>
      </c>
      <c r="C33" t="s">
        <v>278</v>
      </c>
      <c r="D33" t="s">
        <v>223</v>
      </c>
      <c r="F33" t="s">
        <v>204</v>
      </c>
      <c r="G33" s="121">
        <v>168</v>
      </c>
      <c r="H33" s="122">
        <v>88</v>
      </c>
      <c r="I33" s="122"/>
      <c r="J33">
        <v>4</v>
      </c>
      <c r="K33">
        <v>1</v>
      </c>
    </row>
    <row r="34" spans="1:13" ht="13.5" hidden="1" customHeight="1" x14ac:dyDescent="0.35">
      <c r="A34" t="s">
        <v>23</v>
      </c>
      <c r="B34" t="s">
        <v>379</v>
      </c>
      <c r="C34" t="s">
        <v>280</v>
      </c>
      <c r="D34" t="s">
        <v>223</v>
      </c>
      <c r="F34" t="s">
        <v>206</v>
      </c>
      <c r="G34" s="121"/>
      <c r="H34" s="122">
        <v>0</v>
      </c>
      <c r="I34" s="122"/>
      <c r="J34">
        <v>0</v>
      </c>
      <c r="K34">
        <v>0</v>
      </c>
    </row>
    <row r="35" spans="1:13" ht="13.5" hidden="1" customHeight="1" x14ac:dyDescent="0.35">
      <c r="A35" t="s">
        <v>23</v>
      </c>
      <c r="B35" t="s">
        <v>379</v>
      </c>
      <c r="C35" t="s">
        <v>280</v>
      </c>
      <c r="D35" t="s">
        <v>223</v>
      </c>
      <c r="F35" t="s">
        <v>199</v>
      </c>
      <c r="G35" s="121"/>
      <c r="H35" s="122">
        <v>0</v>
      </c>
      <c r="I35" s="122"/>
      <c r="J35">
        <v>0</v>
      </c>
      <c r="K35">
        <v>0</v>
      </c>
    </row>
    <row r="36" spans="1:13" ht="13.5" customHeight="1" x14ac:dyDescent="0.35">
      <c r="A36" t="s">
        <v>12</v>
      </c>
      <c r="C36" t="s">
        <v>17</v>
      </c>
      <c r="D36" t="s">
        <v>74</v>
      </c>
      <c r="E36" t="s">
        <v>236</v>
      </c>
      <c r="F36" t="str">
        <f>'Workload old'!F36</f>
        <v>TAC</v>
      </c>
      <c r="G36" s="121">
        <v>5632</v>
      </c>
      <c r="H36" s="138">
        <f>'Workload old'!H36</f>
        <v>880</v>
      </c>
      <c r="I36" s="139">
        <f>'Workload old'!I36</f>
        <v>380160</v>
      </c>
      <c r="J36">
        <v>12</v>
      </c>
      <c r="K36">
        <v>14</v>
      </c>
      <c r="M36" t="s">
        <v>383</v>
      </c>
    </row>
    <row r="37" spans="1:13" ht="13.5" hidden="1" customHeight="1" x14ac:dyDescent="0.35">
      <c r="A37" t="s">
        <v>12</v>
      </c>
      <c r="B37" t="s">
        <v>378</v>
      </c>
      <c r="C37" t="s">
        <v>198</v>
      </c>
      <c r="D37" t="s">
        <v>74</v>
      </c>
      <c r="F37" t="s">
        <v>207</v>
      </c>
      <c r="G37" s="121">
        <v>704</v>
      </c>
      <c r="H37" s="122">
        <v>88</v>
      </c>
      <c r="I37" s="122"/>
      <c r="J37">
        <v>2</v>
      </c>
      <c r="K37">
        <v>2</v>
      </c>
    </row>
    <row r="38" spans="1:13" ht="13.5" hidden="1" customHeight="1" x14ac:dyDescent="0.35">
      <c r="A38" t="s">
        <v>12</v>
      </c>
      <c r="B38" t="s">
        <v>378</v>
      </c>
      <c r="C38" t="s">
        <v>148</v>
      </c>
      <c r="D38" t="s">
        <v>74</v>
      </c>
      <c r="F38" t="s">
        <v>227</v>
      </c>
      <c r="G38" s="121">
        <v>1760</v>
      </c>
      <c r="H38" s="122">
        <v>220</v>
      </c>
      <c r="I38" s="122"/>
      <c r="J38">
        <v>2</v>
      </c>
      <c r="K38">
        <v>5</v>
      </c>
    </row>
    <row r="39" spans="1:13" ht="13.5" hidden="1" customHeight="1" x14ac:dyDescent="0.35">
      <c r="A39" t="s">
        <v>12</v>
      </c>
      <c r="B39" t="s">
        <v>366</v>
      </c>
      <c r="C39" t="s">
        <v>148</v>
      </c>
      <c r="D39" t="s">
        <v>74</v>
      </c>
      <c r="F39" t="s">
        <v>229</v>
      </c>
      <c r="G39" s="121">
        <v>528</v>
      </c>
      <c r="H39" s="122">
        <v>66</v>
      </c>
      <c r="I39" s="122"/>
      <c r="J39">
        <v>1</v>
      </c>
      <c r="K39">
        <v>3</v>
      </c>
    </row>
    <row r="40" spans="1:13" ht="13.5" hidden="1" customHeight="1" x14ac:dyDescent="0.35">
      <c r="A40" t="s">
        <v>12</v>
      </c>
      <c r="B40" t="s">
        <v>361</v>
      </c>
      <c r="C40" t="s">
        <v>148</v>
      </c>
      <c r="D40" t="s">
        <v>74</v>
      </c>
      <c r="F40" t="s">
        <v>201</v>
      </c>
      <c r="G40" s="121">
        <v>528</v>
      </c>
      <c r="H40" s="122">
        <v>66</v>
      </c>
      <c r="I40" s="122"/>
      <c r="J40">
        <v>3</v>
      </c>
      <c r="K40">
        <v>1</v>
      </c>
    </row>
    <row r="41" spans="1:13" ht="13.5" hidden="1" customHeight="1" x14ac:dyDescent="0.35">
      <c r="A41" t="s">
        <v>12</v>
      </c>
      <c r="B41" t="s">
        <v>263</v>
      </c>
      <c r="C41" t="s">
        <v>279</v>
      </c>
      <c r="D41" t="s">
        <v>74</v>
      </c>
      <c r="F41" t="s">
        <v>248</v>
      </c>
      <c r="G41" s="121">
        <v>0</v>
      </c>
      <c r="H41" s="122">
        <v>0</v>
      </c>
      <c r="I41" s="122"/>
      <c r="K41">
        <v>0</v>
      </c>
    </row>
    <row r="42" spans="1:13" ht="13.5" hidden="1" customHeight="1" x14ac:dyDescent="0.35">
      <c r="A42" t="s">
        <v>12</v>
      </c>
      <c r="B42" t="s">
        <v>244</v>
      </c>
      <c r="C42" t="s">
        <v>278</v>
      </c>
      <c r="D42" t="s">
        <v>74</v>
      </c>
      <c r="F42" t="s">
        <v>204</v>
      </c>
      <c r="G42" s="121">
        <v>2112</v>
      </c>
      <c r="H42" s="122">
        <v>264</v>
      </c>
      <c r="I42" s="122"/>
      <c r="J42">
        <v>4</v>
      </c>
      <c r="K42">
        <v>3</v>
      </c>
    </row>
    <row r="43" spans="1:13" ht="13.5" hidden="1" customHeight="1" x14ac:dyDescent="0.35">
      <c r="A43" t="s">
        <v>12</v>
      </c>
      <c r="B43" t="s">
        <v>379</v>
      </c>
      <c r="C43" t="s">
        <v>280</v>
      </c>
      <c r="D43" t="s">
        <v>74</v>
      </c>
      <c r="F43" t="s">
        <v>206</v>
      </c>
      <c r="G43" s="121">
        <v>0</v>
      </c>
      <c r="H43" s="122">
        <v>0</v>
      </c>
      <c r="I43" s="122"/>
      <c r="J43">
        <v>0</v>
      </c>
      <c r="K43">
        <v>0</v>
      </c>
    </row>
    <row r="44" spans="1:13" ht="13.5" hidden="1" customHeight="1" x14ac:dyDescent="0.35">
      <c r="A44" t="s">
        <v>12</v>
      </c>
      <c r="B44" t="s">
        <v>379</v>
      </c>
      <c r="C44" t="s">
        <v>280</v>
      </c>
      <c r="D44" t="s">
        <v>74</v>
      </c>
      <c r="F44" t="s">
        <v>199</v>
      </c>
      <c r="G44" s="121">
        <v>0</v>
      </c>
      <c r="H44" s="122">
        <v>0</v>
      </c>
      <c r="I44" s="122"/>
      <c r="J44">
        <v>0</v>
      </c>
      <c r="K44">
        <v>0</v>
      </c>
    </row>
    <row r="45" spans="1:13" ht="13.5" customHeight="1" x14ac:dyDescent="0.35">
      <c r="A45" t="s">
        <v>12</v>
      </c>
      <c r="C45" t="s">
        <v>17</v>
      </c>
      <c r="D45" t="s">
        <v>193</v>
      </c>
      <c r="E45" t="s">
        <v>237</v>
      </c>
      <c r="F45" t="str">
        <f>'Workload old'!F43</f>
        <v>TAPV(PBC)</v>
      </c>
      <c r="G45" s="121">
        <v>3520</v>
      </c>
      <c r="H45" s="138">
        <f>'Workload old'!H43</f>
        <v>528</v>
      </c>
      <c r="I45" s="139">
        <f>'Workload old'!I43</f>
        <v>228096</v>
      </c>
      <c r="J45">
        <v>8</v>
      </c>
      <c r="K45">
        <v>8</v>
      </c>
      <c r="M45" t="s">
        <v>383</v>
      </c>
    </row>
    <row r="46" spans="1:13" ht="13.5" hidden="1" customHeight="1" x14ac:dyDescent="0.35">
      <c r="A46" t="s">
        <v>12</v>
      </c>
      <c r="B46" t="s">
        <v>378</v>
      </c>
      <c r="C46" t="s">
        <v>198</v>
      </c>
      <c r="D46" t="s">
        <v>193</v>
      </c>
      <c r="F46" t="s">
        <v>207</v>
      </c>
      <c r="G46" s="121">
        <v>704</v>
      </c>
      <c r="H46" s="122">
        <v>88</v>
      </c>
      <c r="I46" s="122"/>
      <c r="J46">
        <v>2</v>
      </c>
      <c r="K46">
        <v>2</v>
      </c>
    </row>
    <row r="47" spans="1:13" ht="13.5" hidden="1" customHeight="1" x14ac:dyDescent="0.35">
      <c r="A47" t="s">
        <v>12</v>
      </c>
      <c r="B47" t="s">
        <v>378</v>
      </c>
      <c r="C47" t="s">
        <v>148</v>
      </c>
      <c r="D47" t="s">
        <v>193</v>
      </c>
      <c r="F47" t="s">
        <v>227</v>
      </c>
      <c r="G47" s="121">
        <v>1408</v>
      </c>
      <c r="H47" s="122">
        <v>176</v>
      </c>
      <c r="I47" s="122"/>
      <c r="J47">
        <v>2</v>
      </c>
      <c r="K47">
        <v>4</v>
      </c>
    </row>
    <row r="48" spans="1:13" ht="13.5" hidden="1" customHeight="1" x14ac:dyDescent="0.35">
      <c r="A48" t="s">
        <v>12</v>
      </c>
      <c r="B48" t="s">
        <v>263</v>
      </c>
      <c r="C48" t="s">
        <v>279</v>
      </c>
      <c r="D48" t="s">
        <v>193</v>
      </c>
      <c r="F48" t="s">
        <v>265</v>
      </c>
      <c r="G48" s="121">
        <v>0</v>
      </c>
      <c r="H48" s="122">
        <v>0</v>
      </c>
      <c r="I48" s="122"/>
      <c r="K48">
        <v>0</v>
      </c>
    </row>
    <row r="49" spans="1:13" ht="13.5" hidden="1" customHeight="1" x14ac:dyDescent="0.35">
      <c r="A49" t="s">
        <v>12</v>
      </c>
      <c r="B49" t="s">
        <v>244</v>
      </c>
      <c r="C49" t="s">
        <v>278</v>
      </c>
      <c r="D49" t="s">
        <v>193</v>
      </c>
      <c r="F49" t="s">
        <v>204</v>
      </c>
      <c r="G49" s="121">
        <v>1408</v>
      </c>
      <c r="H49" s="122">
        <v>176</v>
      </c>
      <c r="I49" s="122"/>
      <c r="J49">
        <v>4</v>
      </c>
      <c r="K49">
        <v>2</v>
      </c>
    </row>
    <row r="50" spans="1:13" ht="13.5" hidden="1" customHeight="1" x14ac:dyDescent="0.35">
      <c r="A50" t="s">
        <v>12</v>
      </c>
      <c r="B50" t="s">
        <v>379</v>
      </c>
      <c r="C50" t="s">
        <v>280</v>
      </c>
      <c r="D50" t="s">
        <v>193</v>
      </c>
      <c r="F50" t="s">
        <v>206</v>
      </c>
      <c r="G50" s="121">
        <v>0</v>
      </c>
      <c r="H50" s="122">
        <v>0</v>
      </c>
      <c r="I50" s="122"/>
      <c r="J50">
        <v>0</v>
      </c>
      <c r="K50">
        <v>0</v>
      </c>
    </row>
    <row r="51" spans="1:13" ht="13.5" hidden="1" customHeight="1" x14ac:dyDescent="0.35">
      <c r="A51" t="s">
        <v>12</v>
      </c>
      <c r="B51" t="s">
        <v>379</v>
      </c>
      <c r="C51" t="s">
        <v>280</v>
      </c>
      <c r="D51" t="s">
        <v>193</v>
      </c>
      <c r="F51" t="s">
        <v>199</v>
      </c>
      <c r="G51" s="121">
        <v>0</v>
      </c>
      <c r="H51" s="122">
        <v>0</v>
      </c>
      <c r="I51" s="122"/>
      <c r="J51">
        <v>0</v>
      </c>
      <c r="K51">
        <v>0</v>
      </c>
    </row>
    <row r="52" spans="1:13" ht="13.5" customHeight="1" x14ac:dyDescent="0.35">
      <c r="A52" t="s">
        <v>12</v>
      </c>
      <c r="C52" t="s">
        <v>17</v>
      </c>
      <c r="D52" t="s">
        <v>76</v>
      </c>
      <c r="E52" t="s">
        <v>238</v>
      </c>
      <c r="F52" t="str">
        <f>'Workload old'!F48</f>
        <v>Shunting plan handling</v>
      </c>
      <c r="G52" s="121">
        <v>1408</v>
      </c>
      <c r="H52" s="138">
        <f>'Workload old'!H48</f>
        <v>242</v>
      </c>
      <c r="I52" s="139">
        <f>'Workload old'!I48</f>
        <v>104544</v>
      </c>
      <c r="J52">
        <v>8</v>
      </c>
      <c r="K52">
        <v>4</v>
      </c>
      <c r="M52" t="s">
        <v>383</v>
      </c>
    </row>
    <row r="53" spans="1:13" ht="13.5" hidden="1" customHeight="1" x14ac:dyDescent="0.35">
      <c r="A53" t="s">
        <v>12</v>
      </c>
      <c r="B53" t="s">
        <v>367</v>
      </c>
      <c r="C53" t="s">
        <v>198</v>
      </c>
      <c r="D53" t="s">
        <v>76</v>
      </c>
      <c r="F53" t="s">
        <v>207</v>
      </c>
      <c r="G53" s="121">
        <v>176</v>
      </c>
      <c r="H53" s="122">
        <v>22</v>
      </c>
      <c r="I53" s="122"/>
      <c r="J53">
        <v>1</v>
      </c>
      <c r="K53">
        <v>1</v>
      </c>
    </row>
    <row r="54" spans="1:13" ht="13.5" hidden="1" customHeight="1" x14ac:dyDescent="0.35">
      <c r="A54" t="s">
        <v>12</v>
      </c>
      <c r="B54" t="s">
        <v>378</v>
      </c>
      <c r="C54" t="s">
        <v>148</v>
      </c>
      <c r="D54" t="s">
        <v>76</v>
      </c>
      <c r="F54" t="s">
        <v>227</v>
      </c>
      <c r="G54" s="121">
        <v>352</v>
      </c>
      <c r="H54" s="122">
        <v>44</v>
      </c>
      <c r="I54" s="122"/>
      <c r="J54">
        <v>2</v>
      </c>
      <c r="K54">
        <v>1</v>
      </c>
    </row>
    <row r="55" spans="1:13" ht="13.5" hidden="1" customHeight="1" x14ac:dyDescent="0.35">
      <c r="A55" t="s">
        <v>12</v>
      </c>
      <c r="B55" t="s">
        <v>368</v>
      </c>
      <c r="C55" t="s">
        <v>148</v>
      </c>
      <c r="D55" t="s">
        <v>76</v>
      </c>
      <c r="F55" t="s">
        <v>229</v>
      </c>
      <c r="G55" s="121">
        <v>176</v>
      </c>
      <c r="H55" s="122">
        <v>22</v>
      </c>
      <c r="I55" s="122"/>
      <c r="J55">
        <v>1</v>
      </c>
      <c r="K55">
        <v>1</v>
      </c>
    </row>
    <row r="56" spans="1:13" ht="13.5" hidden="1" customHeight="1" x14ac:dyDescent="0.35">
      <c r="A56" t="s">
        <v>12</v>
      </c>
      <c r="B56" t="s">
        <v>263</v>
      </c>
      <c r="C56" t="s">
        <v>279</v>
      </c>
      <c r="D56" t="s">
        <v>76</v>
      </c>
      <c r="F56" t="s">
        <v>248</v>
      </c>
      <c r="G56" s="121">
        <v>0</v>
      </c>
      <c r="H56" s="122">
        <v>0</v>
      </c>
      <c r="I56" s="122"/>
      <c r="K56">
        <v>0</v>
      </c>
    </row>
    <row r="57" spans="1:13" ht="13.5" hidden="1" customHeight="1" x14ac:dyDescent="0.35">
      <c r="A57" t="s">
        <v>12</v>
      </c>
      <c r="B57" t="s">
        <v>244</v>
      </c>
      <c r="C57" t="s">
        <v>278</v>
      </c>
      <c r="D57" t="s">
        <v>76</v>
      </c>
      <c r="F57" t="s">
        <v>204</v>
      </c>
      <c r="G57" s="121">
        <v>704</v>
      </c>
      <c r="H57" s="122">
        <v>88</v>
      </c>
      <c r="I57" s="122"/>
      <c r="J57">
        <v>4</v>
      </c>
      <c r="K57">
        <v>1</v>
      </c>
    </row>
    <row r="58" spans="1:13" ht="13.5" hidden="1" customHeight="1" x14ac:dyDescent="0.35">
      <c r="A58" t="s">
        <v>12</v>
      </c>
      <c r="B58" t="s">
        <v>379</v>
      </c>
      <c r="C58" t="s">
        <v>280</v>
      </c>
      <c r="D58" t="s">
        <v>76</v>
      </c>
      <c r="F58" t="s">
        <v>206</v>
      </c>
      <c r="G58" s="121">
        <v>0</v>
      </c>
      <c r="H58" s="122">
        <v>0</v>
      </c>
      <c r="I58" s="122"/>
      <c r="J58">
        <v>0</v>
      </c>
      <c r="K58">
        <v>0</v>
      </c>
    </row>
    <row r="59" spans="1:13" ht="13.5" hidden="1" customHeight="1" x14ac:dyDescent="0.35">
      <c r="A59" t="s">
        <v>12</v>
      </c>
      <c r="B59" t="s">
        <v>379</v>
      </c>
      <c r="C59" t="s">
        <v>280</v>
      </c>
      <c r="D59" t="s">
        <v>76</v>
      </c>
      <c r="F59" t="s">
        <v>199</v>
      </c>
      <c r="G59" s="121">
        <v>0</v>
      </c>
      <c r="H59" s="122">
        <v>0</v>
      </c>
      <c r="I59" s="122"/>
      <c r="J59">
        <v>0</v>
      </c>
      <c r="K59">
        <v>0</v>
      </c>
    </row>
    <row r="60" spans="1:13" ht="13.5" customHeight="1" x14ac:dyDescent="0.35">
      <c r="A60" t="s">
        <v>12</v>
      </c>
      <c r="C60" t="s">
        <v>17</v>
      </c>
      <c r="D60" t="s">
        <v>194</v>
      </c>
      <c r="E60" t="s">
        <v>239</v>
      </c>
      <c r="F60" t="str">
        <f>'Workload old'!F54</f>
        <v>MPK (Shunting Plan)</v>
      </c>
      <c r="G60" s="121">
        <v>1232</v>
      </c>
      <c r="H60" s="138">
        <f>'Workload old'!H54</f>
        <v>242</v>
      </c>
      <c r="I60" s="139">
        <f>'Workload old'!I54</f>
        <v>104544</v>
      </c>
      <c r="J60">
        <v>6</v>
      </c>
      <c r="K60">
        <v>4</v>
      </c>
      <c r="M60" t="s">
        <v>383</v>
      </c>
    </row>
    <row r="61" spans="1:13" ht="13.5" hidden="1" customHeight="1" x14ac:dyDescent="0.35">
      <c r="A61" t="s">
        <v>12</v>
      </c>
      <c r="B61" t="s">
        <v>369</v>
      </c>
      <c r="C61" t="s">
        <v>198</v>
      </c>
      <c r="D61" t="s">
        <v>194</v>
      </c>
      <c r="F61" t="s">
        <v>207</v>
      </c>
      <c r="G61" s="121">
        <v>176</v>
      </c>
      <c r="H61" s="122">
        <v>22</v>
      </c>
      <c r="I61" s="122"/>
      <c r="J61">
        <v>1</v>
      </c>
      <c r="K61">
        <v>1</v>
      </c>
    </row>
    <row r="62" spans="1:13" ht="13.5" hidden="1" customHeight="1" x14ac:dyDescent="0.35">
      <c r="A62" t="s">
        <v>12</v>
      </c>
      <c r="B62" t="s">
        <v>264</v>
      </c>
      <c r="C62" t="s">
        <v>148</v>
      </c>
      <c r="D62" t="s">
        <v>194</v>
      </c>
      <c r="F62" t="s">
        <v>229</v>
      </c>
      <c r="G62" s="121">
        <v>352</v>
      </c>
      <c r="H62" s="122">
        <v>44</v>
      </c>
      <c r="I62" s="122"/>
      <c r="J62">
        <v>1</v>
      </c>
      <c r="K62">
        <v>2</v>
      </c>
    </row>
    <row r="63" spans="1:13" ht="13.5" hidden="1" customHeight="1" x14ac:dyDescent="0.35">
      <c r="A63" t="s">
        <v>12</v>
      </c>
      <c r="B63" t="s">
        <v>263</v>
      </c>
      <c r="C63" t="s">
        <v>279</v>
      </c>
      <c r="D63" t="s">
        <v>194</v>
      </c>
      <c r="F63" t="s">
        <v>248</v>
      </c>
      <c r="G63" s="121">
        <v>0</v>
      </c>
      <c r="H63" s="122">
        <v>0</v>
      </c>
      <c r="I63" s="122"/>
      <c r="K63">
        <v>0</v>
      </c>
    </row>
    <row r="64" spans="1:13" ht="13.5" hidden="1" customHeight="1" x14ac:dyDescent="0.35">
      <c r="A64" t="s">
        <v>12</v>
      </c>
      <c r="B64" t="s">
        <v>244</v>
      </c>
      <c r="C64" t="s">
        <v>278</v>
      </c>
      <c r="D64" t="s">
        <v>194</v>
      </c>
      <c r="F64" t="s">
        <v>204</v>
      </c>
      <c r="G64" s="121">
        <v>704</v>
      </c>
      <c r="H64" s="122">
        <v>88</v>
      </c>
      <c r="I64" s="122"/>
      <c r="J64">
        <v>4</v>
      </c>
      <c r="K64">
        <v>1</v>
      </c>
    </row>
    <row r="65" spans="1:13" ht="13.5" hidden="1" customHeight="1" x14ac:dyDescent="0.35">
      <c r="A65" t="s">
        <v>12</v>
      </c>
      <c r="B65" t="s">
        <v>379</v>
      </c>
      <c r="C65" t="s">
        <v>280</v>
      </c>
      <c r="D65" t="s">
        <v>194</v>
      </c>
      <c r="F65" t="s">
        <v>206</v>
      </c>
      <c r="G65" s="121">
        <v>0</v>
      </c>
      <c r="H65" s="122">
        <v>0</v>
      </c>
      <c r="I65" s="122"/>
      <c r="J65">
        <v>0</v>
      </c>
      <c r="K65">
        <v>0</v>
      </c>
    </row>
    <row r="66" spans="1:13" ht="13.5" hidden="1" customHeight="1" x14ac:dyDescent="0.35">
      <c r="A66" t="s">
        <v>12</v>
      </c>
      <c r="B66" t="s">
        <v>379</v>
      </c>
      <c r="C66" t="s">
        <v>280</v>
      </c>
      <c r="D66" t="s">
        <v>194</v>
      </c>
      <c r="F66" t="s">
        <v>199</v>
      </c>
      <c r="G66" s="121">
        <v>0</v>
      </c>
      <c r="H66" s="122">
        <v>0</v>
      </c>
      <c r="I66" s="122"/>
      <c r="J66">
        <v>0</v>
      </c>
      <c r="K66">
        <v>0</v>
      </c>
    </row>
    <row r="67" spans="1:13" ht="13.5" customHeight="1" x14ac:dyDescent="0.35">
      <c r="A67" t="s">
        <v>12</v>
      </c>
      <c r="C67" t="s">
        <v>17</v>
      </c>
      <c r="D67" t="s">
        <v>246</v>
      </c>
      <c r="E67" t="s">
        <v>233</v>
      </c>
      <c r="F67" t="str">
        <f>'Workload old'!F59</f>
        <v>Light Client int. (Single sign-on for TAS)</v>
      </c>
      <c r="G67" s="121">
        <v>2464</v>
      </c>
      <c r="H67" s="138">
        <f>'Workload old'!H59</f>
        <v>528</v>
      </c>
      <c r="I67" s="139">
        <f>'Workload old'!I59</f>
        <v>228096</v>
      </c>
      <c r="J67">
        <v>10</v>
      </c>
      <c r="K67">
        <v>7</v>
      </c>
      <c r="M67" t="s">
        <v>383</v>
      </c>
    </row>
    <row r="68" spans="1:13" ht="13.5" hidden="1" customHeight="1" x14ac:dyDescent="0.35">
      <c r="A68" t="s">
        <v>12</v>
      </c>
      <c r="B68" t="s">
        <v>370</v>
      </c>
      <c r="C68" t="s">
        <v>198</v>
      </c>
      <c r="D68" t="s">
        <v>246</v>
      </c>
      <c r="F68" t="s">
        <v>230</v>
      </c>
      <c r="G68" s="121">
        <v>176</v>
      </c>
      <c r="H68" s="122">
        <v>22</v>
      </c>
      <c r="I68" s="122"/>
      <c r="J68">
        <v>1</v>
      </c>
      <c r="K68">
        <v>1</v>
      </c>
    </row>
    <row r="69" spans="1:13" ht="13.5" hidden="1" customHeight="1" x14ac:dyDescent="0.35">
      <c r="A69" t="s">
        <v>12</v>
      </c>
      <c r="B69" t="s">
        <v>378</v>
      </c>
      <c r="C69" t="s">
        <v>198</v>
      </c>
      <c r="D69" t="s">
        <v>246</v>
      </c>
      <c r="F69" t="s">
        <v>231</v>
      </c>
      <c r="G69" s="121">
        <v>704</v>
      </c>
      <c r="H69" s="122">
        <v>88</v>
      </c>
      <c r="I69" s="122"/>
      <c r="J69">
        <v>2</v>
      </c>
      <c r="K69">
        <v>2</v>
      </c>
    </row>
    <row r="70" spans="1:13" ht="13.5" hidden="1" customHeight="1" x14ac:dyDescent="0.35">
      <c r="A70" t="s">
        <v>12</v>
      </c>
      <c r="B70" t="s">
        <v>371</v>
      </c>
      <c r="C70" t="s">
        <v>148</v>
      </c>
      <c r="D70" t="s">
        <v>246</v>
      </c>
      <c r="F70" t="s">
        <v>229</v>
      </c>
      <c r="G70" s="121">
        <v>176</v>
      </c>
      <c r="H70" s="122">
        <v>22</v>
      </c>
      <c r="I70" s="122"/>
      <c r="J70">
        <v>1</v>
      </c>
      <c r="K70">
        <v>1</v>
      </c>
    </row>
    <row r="71" spans="1:13" ht="13.5" hidden="1" customHeight="1" x14ac:dyDescent="0.35">
      <c r="A71" t="s">
        <v>12</v>
      </c>
      <c r="B71" t="s">
        <v>378</v>
      </c>
      <c r="C71" t="s">
        <v>148</v>
      </c>
      <c r="D71" t="s">
        <v>246</v>
      </c>
      <c r="F71" t="s">
        <v>227</v>
      </c>
      <c r="G71" s="121">
        <v>704</v>
      </c>
      <c r="H71" s="122">
        <v>88</v>
      </c>
      <c r="I71" s="122"/>
      <c r="J71">
        <v>2</v>
      </c>
      <c r="K71">
        <v>2</v>
      </c>
    </row>
    <row r="72" spans="1:13" ht="13.5" hidden="1" customHeight="1" x14ac:dyDescent="0.35">
      <c r="A72" t="s">
        <v>12</v>
      </c>
      <c r="B72" t="s">
        <v>263</v>
      </c>
      <c r="C72" t="s">
        <v>279</v>
      </c>
      <c r="D72" t="s">
        <v>246</v>
      </c>
      <c r="F72" t="s">
        <v>248</v>
      </c>
      <c r="G72" s="121">
        <v>0</v>
      </c>
      <c r="H72" s="122">
        <v>0</v>
      </c>
      <c r="I72" s="122"/>
      <c r="K72">
        <v>0</v>
      </c>
    </row>
    <row r="73" spans="1:13" ht="13.5" hidden="1" customHeight="1" x14ac:dyDescent="0.35">
      <c r="A73" t="s">
        <v>12</v>
      </c>
      <c r="B73" t="s">
        <v>244</v>
      </c>
      <c r="C73" t="s">
        <v>278</v>
      </c>
      <c r="D73" t="s">
        <v>246</v>
      </c>
      <c r="F73" t="s">
        <v>204</v>
      </c>
      <c r="G73" s="121">
        <v>704</v>
      </c>
      <c r="H73" s="122">
        <v>88</v>
      </c>
      <c r="I73" s="122"/>
      <c r="J73">
        <v>4</v>
      </c>
      <c r="K73">
        <v>1</v>
      </c>
    </row>
    <row r="74" spans="1:13" ht="13.5" hidden="1" customHeight="1" x14ac:dyDescent="0.35">
      <c r="A74" t="s">
        <v>12</v>
      </c>
      <c r="B74" t="s">
        <v>379</v>
      </c>
      <c r="C74" t="s">
        <v>280</v>
      </c>
      <c r="D74" t="s">
        <v>246</v>
      </c>
      <c r="F74" t="s">
        <v>206</v>
      </c>
      <c r="G74" s="121">
        <v>0</v>
      </c>
      <c r="H74" s="122">
        <v>0</v>
      </c>
      <c r="I74" s="122"/>
      <c r="J74">
        <v>0</v>
      </c>
      <c r="K74">
        <v>0</v>
      </c>
    </row>
    <row r="75" spans="1:13" ht="13.5" hidden="1" customHeight="1" x14ac:dyDescent="0.35">
      <c r="A75" t="s">
        <v>12</v>
      </c>
      <c r="B75" t="s">
        <v>379</v>
      </c>
      <c r="C75" t="s">
        <v>280</v>
      </c>
      <c r="D75" t="s">
        <v>246</v>
      </c>
      <c r="F75" t="s">
        <v>199</v>
      </c>
      <c r="G75" s="121">
        <v>0</v>
      </c>
      <c r="H75" s="122">
        <v>0</v>
      </c>
      <c r="I75" s="122"/>
      <c r="J75">
        <v>0</v>
      </c>
      <c r="K75">
        <v>0</v>
      </c>
    </row>
    <row r="76" spans="1:13" ht="13.5" customHeight="1" x14ac:dyDescent="0.35">
      <c r="A76" t="s">
        <v>12</v>
      </c>
      <c r="C76" t="s">
        <v>17</v>
      </c>
      <c r="D76" t="s">
        <v>262</v>
      </c>
      <c r="E76" t="s">
        <v>274</v>
      </c>
      <c r="F76" t="str">
        <f>'Workload old'!F66</f>
        <v>Business Continuity</v>
      </c>
      <c r="G76" s="121">
        <v>16720</v>
      </c>
      <c r="H76" s="138">
        <f>'Workload old'!H66</f>
        <v>1342</v>
      </c>
      <c r="I76" s="139">
        <f>'Workload old'!I66</f>
        <v>579744</v>
      </c>
      <c r="J76">
        <v>9</v>
      </c>
      <c r="K76">
        <v>26</v>
      </c>
      <c r="M76" t="s">
        <v>383</v>
      </c>
    </row>
    <row r="77" spans="1:13" ht="13.5" hidden="1" customHeight="1" x14ac:dyDescent="0.35">
      <c r="A77" t="s">
        <v>12</v>
      </c>
      <c r="B77" t="s">
        <v>363</v>
      </c>
      <c r="C77" t="s">
        <v>198</v>
      </c>
      <c r="D77" t="s">
        <v>262</v>
      </c>
      <c r="F77" t="s">
        <v>230</v>
      </c>
      <c r="G77" s="121">
        <v>528</v>
      </c>
      <c r="H77" s="122">
        <v>66</v>
      </c>
      <c r="I77" s="122"/>
      <c r="J77">
        <v>1</v>
      </c>
      <c r="K77">
        <v>3</v>
      </c>
    </row>
    <row r="78" spans="1:13" ht="13.5" hidden="1" customHeight="1" x14ac:dyDescent="0.35">
      <c r="A78" t="s">
        <v>12</v>
      </c>
      <c r="B78" t="s">
        <v>375</v>
      </c>
      <c r="C78" t="s">
        <v>148</v>
      </c>
      <c r="D78" t="s">
        <v>262</v>
      </c>
      <c r="F78" t="s">
        <v>229</v>
      </c>
      <c r="G78" s="121">
        <v>8448</v>
      </c>
      <c r="H78" s="122">
        <v>1056</v>
      </c>
      <c r="I78" s="122"/>
      <c r="J78">
        <v>4</v>
      </c>
      <c r="K78">
        <v>12</v>
      </c>
    </row>
    <row r="79" spans="1:13" ht="13.5" hidden="1" customHeight="1" x14ac:dyDescent="0.35">
      <c r="A79" t="s">
        <v>12</v>
      </c>
      <c r="B79" t="s">
        <v>263</v>
      </c>
      <c r="C79" t="s">
        <v>279</v>
      </c>
      <c r="D79" t="s">
        <v>262</v>
      </c>
      <c r="F79" t="s">
        <v>248</v>
      </c>
      <c r="G79" s="121">
        <v>0</v>
      </c>
      <c r="H79" s="122">
        <v>0</v>
      </c>
      <c r="I79" s="122"/>
      <c r="K79">
        <v>0</v>
      </c>
    </row>
    <row r="80" spans="1:13" ht="13.5" hidden="1" customHeight="1" x14ac:dyDescent="0.35">
      <c r="A80" t="s">
        <v>12</v>
      </c>
      <c r="B80" t="s">
        <v>244</v>
      </c>
      <c r="C80" t="s">
        <v>278</v>
      </c>
      <c r="D80" t="s">
        <v>262</v>
      </c>
      <c r="F80" t="s">
        <v>204</v>
      </c>
      <c r="G80" s="121">
        <v>7744</v>
      </c>
      <c r="H80" s="122">
        <v>968</v>
      </c>
      <c r="I80" s="122"/>
      <c r="J80">
        <v>4</v>
      </c>
      <c r="K80">
        <v>11</v>
      </c>
    </row>
    <row r="81" spans="5:11" ht="13.5" hidden="1" customHeight="1" x14ac:dyDescent="0.35">
      <c r="E81" t="s">
        <v>266</v>
      </c>
      <c r="F81" t="s">
        <v>204</v>
      </c>
      <c r="G81" s="121">
        <v>107.84400000000001</v>
      </c>
      <c r="H81" s="122">
        <v>13.480500000000001</v>
      </c>
      <c r="I81" s="122"/>
      <c r="J81">
        <v>1</v>
      </c>
      <c r="K81">
        <v>0.61275000000000002</v>
      </c>
    </row>
    <row r="82" spans="5:11" ht="13.5" hidden="1" customHeight="1" x14ac:dyDescent="0.35">
      <c r="E82" t="s">
        <v>267</v>
      </c>
      <c r="F82" t="s">
        <v>204</v>
      </c>
      <c r="G82" s="121">
        <v>88.616000000000014</v>
      </c>
      <c r="H82" s="122">
        <v>11.077000000000002</v>
      </c>
      <c r="I82" s="122"/>
      <c r="J82">
        <v>1</v>
      </c>
      <c r="K82">
        <v>0.50350000000000006</v>
      </c>
    </row>
    <row r="83" spans="5:11" ht="13.5" hidden="1" customHeight="1" x14ac:dyDescent="0.35">
      <c r="E83" t="s">
        <v>268</v>
      </c>
      <c r="F83" t="s">
        <v>204</v>
      </c>
      <c r="G83" s="121">
        <v>229.06400000000002</v>
      </c>
      <c r="H83" s="122">
        <v>28.633000000000003</v>
      </c>
      <c r="I83" s="122"/>
      <c r="J83">
        <v>1</v>
      </c>
      <c r="K83">
        <v>1.3015000000000001</v>
      </c>
    </row>
    <row r="84" spans="5:11" ht="13.5" hidden="1" customHeight="1" x14ac:dyDescent="0.35">
      <c r="E84" t="s">
        <v>269</v>
      </c>
      <c r="F84" t="s">
        <v>204</v>
      </c>
      <c r="G84" s="121">
        <v>403.78800000000001</v>
      </c>
      <c r="H84" s="122">
        <v>50.473500000000001</v>
      </c>
      <c r="I84" s="122"/>
      <c r="J84">
        <v>1</v>
      </c>
      <c r="K84">
        <v>2.2942499999999999</v>
      </c>
    </row>
    <row r="85" spans="5:11" ht="13.5" hidden="1" customHeight="1" x14ac:dyDescent="0.35">
      <c r="E85" t="s">
        <v>269</v>
      </c>
      <c r="F85" t="s">
        <v>204</v>
      </c>
      <c r="G85" s="121">
        <v>403.78800000000001</v>
      </c>
      <c r="H85" s="122">
        <v>50.473500000000001</v>
      </c>
      <c r="I85" s="122"/>
      <c r="J85">
        <v>1</v>
      </c>
      <c r="K85">
        <v>2.2942499999999999</v>
      </c>
    </row>
    <row r="86" spans="5:11" ht="13.5" hidden="1" customHeight="1" x14ac:dyDescent="0.35">
      <c r="E86" t="s">
        <v>270</v>
      </c>
      <c r="F86" t="s">
        <v>204</v>
      </c>
      <c r="G86" s="121">
        <v>403.78800000000001</v>
      </c>
      <c r="H86" s="122">
        <v>50.473500000000001</v>
      </c>
      <c r="I86" s="122"/>
      <c r="J86">
        <v>1</v>
      </c>
      <c r="K86">
        <v>2.2942499999999999</v>
      </c>
    </row>
    <row r="87" spans="5:11" ht="13.5" hidden="1" customHeight="1" x14ac:dyDescent="0.35">
      <c r="E87" t="s">
        <v>243</v>
      </c>
      <c r="F87" t="s">
        <v>204</v>
      </c>
      <c r="G87" s="121">
        <v>403.78800000000001</v>
      </c>
      <c r="H87" s="122">
        <v>50.473500000000001</v>
      </c>
      <c r="I87" s="122"/>
      <c r="J87">
        <v>1</v>
      </c>
      <c r="K87">
        <v>2.2942499999999999</v>
      </c>
    </row>
    <row r="88" spans="5:11" ht="13.5" hidden="1" customHeight="1" x14ac:dyDescent="0.35">
      <c r="F88" t="s">
        <v>229</v>
      </c>
      <c r="G88" s="121">
        <v>350.65800000000002</v>
      </c>
      <c r="H88" s="122">
        <v>43.832250000000002</v>
      </c>
      <c r="I88" s="122"/>
      <c r="J88">
        <v>1</v>
      </c>
      <c r="K88">
        <v>1.9923750000000002</v>
      </c>
    </row>
    <row r="89" spans="5:11" ht="13.5" hidden="1" customHeight="1" x14ac:dyDescent="0.35">
      <c r="E89" t="s">
        <v>240</v>
      </c>
      <c r="F89" t="s">
        <v>272</v>
      </c>
      <c r="G89" s="121">
        <v>658.8119999999999</v>
      </c>
      <c r="H89" s="122">
        <v>82.351499999999987</v>
      </c>
      <c r="I89" s="122"/>
      <c r="J89">
        <v>1</v>
      </c>
      <c r="K89">
        <v>3.7432499999999997</v>
      </c>
    </row>
    <row r="90" spans="5:11" ht="13.5" hidden="1" customHeight="1" x14ac:dyDescent="0.35">
      <c r="F90" t="s">
        <v>204</v>
      </c>
      <c r="G90" s="121">
        <v>403.78800000000001</v>
      </c>
      <c r="H90" s="122">
        <v>50.473500000000001</v>
      </c>
      <c r="I90" s="122"/>
      <c r="J90">
        <v>1</v>
      </c>
      <c r="K90">
        <v>2.2942499999999999</v>
      </c>
    </row>
    <row r="91" spans="5:11" ht="13.5" hidden="1" customHeight="1" x14ac:dyDescent="0.35">
      <c r="E91" t="s">
        <v>242</v>
      </c>
      <c r="F91" t="s">
        <v>273</v>
      </c>
      <c r="G91" s="121">
        <v>409.20000000000005</v>
      </c>
      <c r="H91" s="122">
        <v>51.150000000000006</v>
      </c>
      <c r="I91" s="122"/>
      <c r="J91">
        <v>1</v>
      </c>
      <c r="K91">
        <v>2.3250000000000002</v>
      </c>
    </row>
    <row r="92" spans="5:11" ht="13.5" hidden="1" customHeight="1" x14ac:dyDescent="0.35">
      <c r="F92" t="s">
        <v>204</v>
      </c>
      <c r="G92" s="121">
        <v>250.8</v>
      </c>
      <c r="H92" s="122">
        <v>31.35</v>
      </c>
      <c r="I92" s="122"/>
      <c r="J92">
        <v>1</v>
      </c>
      <c r="K92">
        <v>1.425</v>
      </c>
    </row>
    <row r="93" spans="5:11" ht="13.5" hidden="1" customHeight="1" x14ac:dyDescent="0.35">
      <c r="E93" t="s">
        <v>233</v>
      </c>
      <c r="F93" t="s">
        <v>272</v>
      </c>
      <c r="G93" s="121">
        <v>109.12</v>
      </c>
      <c r="H93" s="122">
        <v>13.64</v>
      </c>
      <c r="I93" s="122"/>
      <c r="J93">
        <v>1</v>
      </c>
      <c r="K93">
        <v>0.62</v>
      </c>
    </row>
    <row r="94" spans="5:11" ht="13.5" hidden="1" customHeight="1" x14ac:dyDescent="0.35">
      <c r="F94" t="s">
        <v>204</v>
      </c>
      <c r="G94" s="121">
        <v>66.88</v>
      </c>
      <c r="H94" s="122">
        <v>8.36</v>
      </c>
      <c r="I94" s="122"/>
      <c r="J94">
        <v>1</v>
      </c>
      <c r="K94">
        <v>0.38</v>
      </c>
    </row>
    <row r="95" spans="5:11" ht="13.5" hidden="1" customHeight="1" x14ac:dyDescent="0.35">
      <c r="E95" t="s">
        <v>241</v>
      </c>
      <c r="F95" t="s">
        <v>271</v>
      </c>
      <c r="G95" s="121">
        <v>613.79999999999995</v>
      </c>
      <c r="H95" s="122">
        <v>76.724999999999994</v>
      </c>
      <c r="I95" s="122"/>
      <c r="J95">
        <v>1</v>
      </c>
      <c r="K95">
        <v>3.4874999999999998</v>
      </c>
    </row>
    <row r="96" spans="5:11" ht="13.5" hidden="1" customHeight="1" x14ac:dyDescent="0.35">
      <c r="F96" t="s">
        <v>204</v>
      </c>
      <c r="G96" s="121">
        <v>376.20000000000005</v>
      </c>
      <c r="H96" s="122">
        <v>47.025000000000006</v>
      </c>
      <c r="I96" s="122"/>
      <c r="J96">
        <v>1</v>
      </c>
      <c r="K96">
        <v>2.1375000000000002</v>
      </c>
    </row>
    <row r="97" spans="1:13 16381:16382" ht="13.5" customHeight="1" x14ac:dyDescent="0.35">
      <c r="A97" t="s">
        <v>12</v>
      </c>
      <c r="C97" t="s">
        <v>17</v>
      </c>
      <c r="D97" t="s">
        <v>282</v>
      </c>
      <c r="E97">
        <v>130487</v>
      </c>
      <c r="F97" t="str">
        <f>'Workload old'!F87</f>
        <v>Link Interactions technical offer</v>
      </c>
      <c r="G97" s="121">
        <v>1056</v>
      </c>
      <c r="H97" s="138">
        <f>'Workload old'!H87</f>
        <v>132</v>
      </c>
      <c r="I97" s="139">
        <f>'Workload old'!I87</f>
        <v>57024</v>
      </c>
      <c r="J97">
        <v>6</v>
      </c>
      <c r="K97">
        <v>2</v>
      </c>
      <c r="M97" t="s">
        <v>383</v>
      </c>
    </row>
    <row r="98" spans="1:13 16381:16382" ht="13.5" hidden="1" customHeight="1" x14ac:dyDescent="0.35">
      <c r="A98" t="s">
        <v>12</v>
      </c>
      <c r="B98" t="s">
        <v>378</v>
      </c>
      <c r="C98" t="s">
        <v>148</v>
      </c>
      <c r="D98" t="s">
        <v>282</v>
      </c>
      <c r="F98" t="s">
        <v>148</v>
      </c>
      <c r="G98" s="121">
        <v>352</v>
      </c>
      <c r="H98" s="122">
        <v>44</v>
      </c>
      <c r="I98" s="122"/>
      <c r="J98">
        <v>2</v>
      </c>
      <c r="K98">
        <v>1</v>
      </c>
    </row>
    <row r="99" spans="1:13 16381:16382" ht="13.5" hidden="1" customHeight="1" x14ac:dyDescent="0.35">
      <c r="A99" t="s">
        <v>12</v>
      </c>
      <c r="B99" t="s">
        <v>244</v>
      </c>
      <c r="C99" t="s">
        <v>278</v>
      </c>
      <c r="D99" t="s">
        <v>282</v>
      </c>
      <c r="F99" t="s">
        <v>204</v>
      </c>
      <c r="G99" s="121">
        <v>704</v>
      </c>
      <c r="H99" s="122">
        <v>88</v>
      </c>
      <c r="I99" s="122"/>
      <c r="J99">
        <v>4</v>
      </c>
      <c r="K99">
        <v>1</v>
      </c>
    </row>
    <row r="100" spans="1:13 16381:16382" ht="13.5" customHeight="1" x14ac:dyDescent="0.35">
      <c r="A100" t="s">
        <v>380</v>
      </c>
      <c r="C100" t="s">
        <v>17</v>
      </c>
      <c r="D100" t="s">
        <v>283</v>
      </c>
      <c r="F100" t="str">
        <f>'Workload old'!F90</f>
        <v>BGL Provision for support S2K</v>
      </c>
      <c r="G100" s="121">
        <v>8096</v>
      </c>
      <c r="H100" s="138">
        <f>'Workload old'!H90</f>
        <v>1144</v>
      </c>
      <c r="I100" s="139">
        <f>'Workload old'!I90</f>
        <v>494208</v>
      </c>
      <c r="J100">
        <v>2</v>
      </c>
      <c r="K100">
        <v>23</v>
      </c>
      <c r="M100" t="s">
        <v>383</v>
      </c>
    </row>
    <row r="101" spans="1:13 16381:16382" ht="13.5" hidden="1" customHeight="1" x14ac:dyDescent="0.35">
      <c r="B101" t="s">
        <v>284</v>
      </c>
      <c r="C101" t="s">
        <v>148</v>
      </c>
      <c r="D101" t="s">
        <v>283</v>
      </c>
      <c r="F101" t="s">
        <v>148</v>
      </c>
      <c r="G101" s="121">
        <v>8096</v>
      </c>
      <c r="H101" s="122">
        <v>1012</v>
      </c>
      <c r="I101" s="122"/>
      <c r="J101">
        <v>2</v>
      </c>
      <c r="K101">
        <v>23</v>
      </c>
    </row>
    <row r="102" spans="1:13 16381:16382" ht="17.149999999999999" customHeight="1" x14ac:dyDescent="0.35">
      <c r="A102" t="s">
        <v>12</v>
      </c>
      <c r="C102" t="s">
        <v>17</v>
      </c>
      <c r="D102" t="s">
        <v>381</v>
      </c>
      <c r="E102" t="s">
        <v>382</v>
      </c>
      <c r="F102" t="str">
        <f>'Workload old'!F92</f>
        <v>Bridge diag. And Log connector</v>
      </c>
      <c r="G102" s="121">
        <v>880</v>
      </c>
      <c r="H102" s="138">
        <f>'Workload old'!H92</f>
        <v>198</v>
      </c>
      <c r="I102" s="139">
        <f>'Workload old'!I92</f>
        <v>85536</v>
      </c>
      <c r="J102">
        <v>3</v>
      </c>
      <c r="K102">
        <v>5</v>
      </c>
      <c r="M102" t="s">
        <v>383</v>
      </c>
    </row>
    <row r="103" spans="1:13 16381:16382" ht="17.149999999999999" customHeight="1" x14ac:dyDescent="0.35">
      <c r="A103" t="s">
        <v>12</v>
      </c>
      <c r="C103" s="138"/>
      <c r="D103" s="139"/>
      <c r="F103" t="s">
        <v>402</v>
      </c>
      <c r="H103" s="138">
        <f>'Workload old'!H96</f>
        <v>110</v>
      </c>
      <c r="I103" s="139">
        <f>'Workload old'!I96</f>
        <v>47520</v>
      </c>
      <c r="M103" t="s">
        <v>383</v>
      </c>
      <c r="XFA103" s="138"/>
      <c r="XFB103" s="139"/>
    </row>
    <row r="104" spans="1:13 16381:16382" ht="52" customHeight="1" x14ac:dyDescent="0.35">
      <c r="G104" s="121"/>
      <c r="H104" s="122"/>
      <c r="I104" s="122"/>
    </row>
    <row r="105" spans="1:13 16381:16382" ht="50.5" customHeight="1" x14ac:dyDescent="0.35">
      <c r="G105" s="121"/>
      <c r="H105" s="122"/>
      <c r="I105" s="122"/>
    </row>
    <row r="106" spans="1:13 16381:16382" ht="52.5" customHeight="1" x14ac:dyDescent="0.35">
      <c r="G106" s="121"/>
      <c r="H106" s="122"/>
      <c r="I106" s="122"/>
    </row>
    <row r="107" spans="1:13 16381:16382" ht="37" customHeight="1" x14ac:dyDescent="0.35">
      <c r="G107" s="121"/>
      <c r="H107" s="122"/>
      <c r="I107" s="122"/>
    </row>
    <row r="108" spans="1:13 16381:16382" ht="24" customHeight="1" x14ac:dyDescent="0.35">
      <c r="G108" s="121"/>
      <c r="H108" s="122"/>
      <c r="I108" s="122"/>
    </row>
    <row r="109" spans="1:13 16381:16382" ht="28" customHeight="1" x14ac:dyDescent="0.35">
      <c r="G109" s="121"/>
      <c r="H109" s="122"/>
      <c r="I109" s="122"/>
    </row>
    <row r="110" spans="1:13 16381:16382" ht="37.5" customHeight="1" x14ac:dyDescent="0.35">
      <c r="G110" s="121"/>
      <c r="H110" s="122"/>
      <c r="I110" s="122"/>
    </row>
    <row r="111" spans="1:13 16381:16382" x14ac:dyDescent="0.35">
      <c r="H111" s="122"/>
      <c r="I111" s="140"/>
    </row>
  </sheetData>
  <phoneticPr fontId="3" type="noConversion"/>
  <pageMargins left="0.7" right="0.7" top="0.75" bottom="0.75" header="0.3" footer="0.3"/>
  <pageSetup orientation="portrait" r:id="rId1"/>
  <headerFooter>
    <oddHeader>&amp;R&amp;"Calibri"&amp;14&amp;K71BF44 RESTRICTED&amp;1#_x000D_</oddHeader>
  </headerFooter>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82839-DF1A-41F4-B55E-D0838E8F5DE7}">
  <sheetPr codeName="Sheet14" filterMode="1">
    <tabColor rgb="FFFF0000"/>
    <outlinePr summaryBelow="0"/>
  </sheetPr>
  <dimension ref="A1:BP138"/>
  <sheetViews>
    <sheetView zoomScale="80" zoomScaleNormal="80" workbookViewId="0">
      <pane ySplit="3" topLeftCell="A4" activePane="bottomLeft" state="frozen"/>
      <selection activeCell="F1" sqref="F1"/>
      <selection pane="bottomLeft" activeCell="R2" sqref="R2:BP2"/>
    </sheetView>
  </sheetViews>
  <sheetFormatPr defaultRowHeight="14.5" outlineLevelRow="2" outlineLevelCol="2" x14ac:dyDescent="0.35"/>
  <cols>
    <col min="1" max="1" width="15.453125" customWidth="1"/>
    <col min="2" max="2" width="35.453125" hidden="1" customWidth="1"/>
    <col min="3" max="3" width="22.7265625" hidden="1" customWidth="1"/>
    <col min="4" max="4" width="21.54296875" customWidth="1"/>
    <col min="5" max="5" width="23.7265625" customWidth="1" outlineLevel="1"/>
    <col min="6" max="6" width="38.26953125" customWidth="1" outlineLevel="1"/>
    <col min="7" max="7" width="12.54296875" customWidth="1" outlineLevel="1"/>
    <col min="8" max="8" width="11.54296875" style="121" customWidth="1" outlineLevel="1"/>
    <col min="9" max="9" width="18.54296875" style="121" customWidth="1" outlineLevel="1"/>
    <col min="10" max="10" width="23.7265625" style="121" customWidth="1" outlineLevel="1"/>
    <col min="11" max="11" width="5.1796875" customWidth="1" outlineLevel="1"/>
    <col min="12" max="12" width="6.1796875" style="121" customWidth="1" outlineLevel="1"/>
    <col min="13" max="13" width="8.1796875" style="121" hidden="1" customWidth="1" outlineLevel="2"/>
    <col min="14" max="14" width="8.08984375" style="121" hidden="1" customWidth="1" outlineLevel="2"/>
    <col min="15" max="15" width="7.81640625" style="121" hidden="1" customWidth="1" outlineLevel="2"/>
    <col min="16" max="16" width="9.26953125" style="121" hidden="1" customWidth="1" outlineLevel="2"/>
    <col min="17" max="17" width="13.7265625" style="121" hidden="1" customWidth="1" outlineLevel="2"/>
    <col min="18" max="18" width="14.36328125" customWidth="1" outlineLevel="1" collapsed="1"/>
    <col min="19" max="19" width="13.453125" customWidth="1" outlineLevel="1"/>
    <col min="20" max="25" width="14.6328125" customWidth="1" outlineLevel="1"/>
    <col min="26" max="26" width="14.90625" customWidth="1" outlineLevel="1"/>
    <col min="27" max="27" width="14.36328125" customWidth="1" outlineLevel="1"/>
    <col min="28" max="29" width="14.90625" customWidth="1" outlineLevel="1"/>
    <col min="30" max="34" width="14.6328125" customWidth="1" outlineLevel="1"/>
    <col min="35" max="38" width="13.453125" customWidth="1" outlineLevel="1"/>
    <col min="39" max="39" width="14.36328125" customWidth="1" outlineLevel="1"/>
    <col min="40" max="42" width="13.453125" customWidth="1" outlineLevel="1"/>
    <col min="43" max="43" width="13.08984375" customWidth="1" outlineLevel="1"/>
    <col min="44" max="44" width="9.1796875" customWidth="1" outlineLevel="1"/>
    <col min="45" max="53" width="9.1796875" bestFit="1" customWidth="1"/>
    <col min="54" max="65" width="9.1796875" customWidth="1"/>
    <col min="66" max="69" width="6.453125" customWidth="1"/>
  </cols>
  <sheetData>
    <row r="1" spans="1:68" ht="33.65" customHeight="1" x14ac:dyDescent="0.35">
      <c r="R1">
        <v>2024</v>
      </c>
      <c r="AD1">
        <v>2025</v>
      </c>
      <c r="AP1">
        <v>2026</v>
      </c>
      <c r="BB1">
        <v>2027</v>
      </c>
    </row>
    <row r="2" spans="1:68" x14ac:dyDescent="0.35">
      <c r="M2" s="249" t="s">
        <v>462</v>
      </c>
      <c r="N2" s="249"/>
      <c r="O2" s="249"/>
      <c r="P2" s="166"/>
      <c r="Q2" s="167" t="s">
        <v>463</v>
      </c>
      <c r="R2" s="208" t="s">
        <v>387</v>
      </c>
      <c r="S2" s="208"/>
      <c r="T2" s="208"/>
      <c r="U2" s="209" t="s">
        <v>376</v>
      </c>
      <c r="V2" s="209"/>
      <c r="W2" s="209"/>
      <c r="X2" s="209"/>
      <c r="Y2" s="209"/>
      <c r="Z2" s="209"/>
      <c r="AA2" s="209"/>
      <c r="AB2" s="209"/>
      <c r="AC2" s="209"/>
      <c r="AD2" s="209"/>
      <c r="AE2" s="209"/>
      <c r="AF2" s="209"/>
      <c r="AG2" s="210" t="s">
        <v>377</v>
      </c>
      <c r="AH2" s="210"/>
      <c r="AI2" s="210"/>
      <c r="AJ2" s="210"/>
      <c r="AK2" s="210"/>
      <c r="AL2" s="210"/>
      <c r="AM2" s="210"/>
      <c r="AN2" s="210"/>
      <c r="AO2" s="210"/>
      <c r="AP2" s="210"/>
      <c r="AQ2" s="210"/>
      <c r="AR2" s="210"/>
      <c r="AS2" s="211" t="s">
        <v>464</v>
      </c>
      <c r="AT2" s="211"/>
      <c r="AU2" s="211"/>
      <c r="AV2" s="211"/>
      <c r="AW2" s="211"/>
      <c r="AX2" s="211"/>
      <c r="AY2" s="211"/>
      <c r="AZ2" s="211"/>
      <c r="BA2" s="211"/>
      <c r="BB2" s="211"/>
      <c r="BC2" s="211"/>
      <c r="BD2" s="211"/>
      <c r="BE2" s="71" t="s">
        <v>465</v>
      </c>
      <c r="BF2" s="71"/>
      <c r="BG2" s="71"/>
      <c r="BH2" s="71"/>
      <c r="BI2" s="71"/>
      <c r="BJ2" s="71"/>
      <c r="BK2" s="71"/>
      <c r="BL2" s="71"/>
      <c r="BM2" s="71"/>
      <c r="BN2" s="71"/>
      <c r="BO2" s="71"/>
      <c r="BP2" s="71"/>
    </row>
    <row r="3" spans="1:68" x14ac:dyDescent="0.35">
      <c r="A3" s="12" t="s">
        <v>224</v>
      </c>
      <c r="B3" s="12" t="s">
        <v>197</v>
      </c>
      <c r="C3" s="12" t="s">
        <v>190</v>
      </c>
      <c r="D3" s="12" t="s">
        <v>460</v>
      </c>
      <c r="E3" s="12" t="s">
        <v>431</v>
      </c>
      <c r="F3" s="12" t="s">
        <v>445</v>
      </c>
      <c r="G3" s="12" t="s">
        <v>446</v>
      </c>
      <c r="H3" s="119" t="s">
        <v>447</v>
      </c>
      <c r="I3" s="119" t="s">
        <v>448</v>
      </c>
      <c r="J3" s="119" t="s">
        <v>466</v>
      </c>
      <c r="K3" s="12" t="s">
        <v>225</v>
      </c>
      <c r="L3" s="119" t="s">
        <v>392</v>
      </c>
      <c r="M3" s="119" t="s">
        <v>387</v>
      </c>
      <c r="N3" s="119" t="s">
        <v>376</v>
      </c>
      <c r="O3" s="119" t="s">
        <v>377</v>
      </c>
      <c r="P3" s="119" t="s">
        <v>464</v>
      </c>
      <c r="Q3" s="119"/>
      <c r="R3" s="12" t="s">
        <v>209</v>
      </c>
      <c r="S3" s="12" t="s">
        <v>210</v>
      </c>
      <c r="T3" s="12" t="s">
        <v>211</v>
      </c>
      <c r="U3" s="12" t="s">
        <v>212</v>
      </c>
      <c r="V3" s="12" t="s">
        <v>216</v>
      </c>
      <c r="W3" s="12" t="s">
        <v>217</v>
      </c>
      <c r="X3" s="12" t="s">
        <v>218</v>
      </c>
      <c r="Y3" s="12" t="s">
        <v>219</v>
      </c>
      <c r="Z3" s="12" t="s">
        <v>213</v>
      </c>
      <c r="AA3" s="12" t="s">
        <v>220</v>
      </c>
      <c r="AB3" s="12" t="s">
        <v>214</v>
      </c>
      <c r="AC3" s="12" t="s">
        <v>215</v>
      </c>
      <c r="AD3" s="12" t="s">
        <v>209</v>
      </c>
      <c r="AE3" s="12" t="s">
        <v>210</v>
      </c>
      <c r="AF3" s="12" t="s">
        <v>211</v>
      </c>
      <c r="AG3" s="12" t="s">
        <v>212</v>
      </c>
      <c r="AH3" s="12" t="s">
        <v>216</v>
      </c>
      <c r="AI3" s="12" t="s">
        <v>217</v>
      </c>
      <c r="AJ3" s="12" t="s">
        <v>218</v>
      </c>
      <c r="AK3" s="12" t="s">
        <v>219</v>
      </c>
      <c r="AL3" s="12" t="s">
        <v>213</v>
      </c>
      <c r="AM3" s="12" t="s">
        <v>220</v>
      </c>
      <c r="AN3" s="12" t="s">
        <v>214</v>
      </c>
      <c r="AO3" s="12" t="s">
        <v>215</v>
      </c>
      <c r="AP3" s="12" t="s">
        <v>209</v>
      </c>
      <c r="AQ3" s="12" t="s">
        <v>210</v>
      </c>
      <c r="AR3" s="12" t="s">
        <v>211</v>
      </c>
      <c r="AS3" s="12" t="s">
        <v>212</v>
      </c>
      <c r="AT3" s="12" t="s">
        <v>216</v>
      </c>
      <c r="AU3" s="12" t="s">
        <v>217</v>
      </c>
      <c r="AV3" s="12" t="s">
        <v>218</v>
      </c>
      <c r="AW3" s="12" t="s">
        <v>219</v>
      </c>
      <c r="AX3" s="12" t="s">
        <v>213</v>
      </c>
      <c r="AY3" s="12" t="s">
        <v>220</v>
      </c>
      <c r="AZ3" s="12" t="s">
        <v>214</v>
      </c>
      <c r="BA3" s="12" t="s">
        <v>215</v>
      </c>
      <c r="BB3" s="12" t="s">
        <v>209</v>
      </c>
      <c r="BC3" s="12" t="s">
        <v>210</v>
      </c>
      <c r="BD3" s="12" t="s">
        <v>211</v>
      </c>
      <c r="BE3" s="12" t="s">
        <v>212</v>
      </c>
      <c r="BF3" s="12" t="s">
        <v>216</v>
      </c>
      <c r="BG3" s="12" t="s">
        <v>217</v>
      </c>
      <c r="BH3" s="12" t="s">
        <v>218</v>
      </c>
      <c r="BI3" s="12" t="s">
        <v>219</v>
      </c>
      <c r="BJ3" s="12" t="s">
        <v>213</v>
      </c>
      <c r="BK3" s="12" t="s">
        <v>220</v>
      </c>
      <c r="BL3" s="12" t="s">
        <v>214</v>
      </c>
      <c r="BM3" s="12" t="s">
        <v>215</v>
      </c>
    </row>
    <row r="4" spans="1:68" ht="18" customHeight="1" x14ac:dyDescent="0.35">
      <c r="A4" s="12" t="s">
        <v>23</v>
      </c>
      <c r="B4" s="12"/>
      <c r="C4" s="12"/>
      <c r="D4" s="12"/>
      <c r="E4" s="12">
        <f t="shared" ref="E4:E35" si="0">G4*160</f>
        <v>0</v>
      </c>
      <c r="F4" s="12"/>
      <c r="G4" s="12"/>
      <c r="H4" s="119"/>
      <c r="I4" s="119"/>
      <c r="J4" s="119"/>
      <c r="K4" s="12"/>
      <c r="L4" s="119"/>
      <c r="M4" s="119"/>
      <c r="N4" s="119"/>
      <c r="O4" s="119"/>
      <c r="P4" s="119"/>
      <c r="Q4" s="119"/>
      <c r="R4" s="126" t="s">
        <v>226</v>
      </c>
      <c r="S4" s="126"/>
      <c r="T4" s="126"/>
      <c r="U4" s="126"/>
      <c r="V4" s="126"/>
      <c r="W4" s="126"/>
      <c r="X4" s="126"/>
      <c r="Y4" s="126"/>
      <c r="Z4" s="126"/>
      <c r="AA4" s="126"/>
      <c r="AB4" s="126"/>
      <c r="AC4" s="126"/>
      <c r="AD4" s="126"/>
      <c r="AE4" s="125" t="s">
        <v>134</v>
      </c>
      <c r="AF4" s="125"/>
      <c r="AG4" s="125"/>
      <c r="AH4" s="125"/>
      <c r="AI4" s="125"/>
      <c r="AJ4" s="125"/>
      <c r="AK4" s="125"/>
      <c r="AL4" s="125"/>
      <c r="AM4" s="125"/>
      <c r="AN4" s="125"/>
      <c r="AO4" s="125"/>
      <c r="AP4" s="125"/>
      <c r="AQ4" s="125"/>
      <c r="AR4" s="125"/>
      <c r="AS4" s="125"/>
      <c r="AT4" s="125"/>
      <c r="AU4" s="125"/>
      <c r="AV4" s="125"/>
      <c r="AW4" s="12"/>
      <c r="AX4" s="12"/>
      <c r="AY4" s="12"/>
      <c r="AZ4" s="12"/>
      <c r="BA4" s="12"/>
    </row>
    <row r="5" spans="1:68" x14ac:dyDescent="0.35">
      <c r="A5" t="s">
        <v>23</v>
      </c>
      <c r="B5" t="s">
        <v>372</v>
      </c>
      <c r="C5" t="s">
        <v>358</v>
      </c>
      <c r="D5" t="s">
        <v>358</v>
      </c>
      <c r="E5" s="12">
        <f t="shared" si="0"/>
        <v>4160</v>
      </c>
      <c r="F5" s="13">
        <f t="shared" ref="F5:F12" si="1">E5/8</f>
        <v>520</v>
      </c>
      <c r="G5" s="12">
        <f t="shared" ref="G5:G12" si="2">COUNTIF(K5:AT5, "-")*H5</f>
        <v>26</v>
      </c>
      <c r="H5" s="119">
        <v>1</v>
      </c>
      <c r="I5" s="111">
        <f t="shared" ref="I5:I12" si="3">E5*54</f>
        <v>224640</v>
      </c>
      <c r="J5" s="134"/>
      <c r="K5" s="12">
        <v>1</v>
      </c>
      <c r="L5" s="119">
        <f>COUNTIF(R5:BA5,"-")</f>
        <v>26</v>
      </c>
      <c r="M5" s="119">
        <f>COUNTIF(R5:T5,"-")*$K5</f>
        <v>3</v>
      </c>
      <c r="N5" s="119">
        <f>COUNTIF(U5:AF5,"-")*$K5</f>
        <v>12</v>
      </c>
      <c r="O5" s="119">
        <f>COUNTIF(AG5:AR5,"-")*$K5</f>
        <v>11</v>
      </c>
      <c r="P5" s="119">
        <f>COUNTIF(AS5:BD5,"-")*$K5</f>
        <v>0</v>
      </c>
      <c r="Q5" s="119"/>
      <c r="R5" s="67" t="s">
        <v>17</v>
      </c>
      <c r="S5" s="67" t="s">
        <v>17</v>
      </c>
      <c r="T5" s="67" t="s">
        <v>17</v>
      </c>
      <c r="U5" s="67" t="s">
        <v>17</v>
      </c>
      <c r="V5" s="67" t="s">
        <v>17</v>
      </c>
      <c r="W5" s="67" t="s">
        <v>17</v>
      </c>
      <c r="X5" s="67" t="s">
        <v>17</v>
      </c>
      <c r="Y5" s="67" t="s">
        <v>17</v>
      </c>
      <c r="Z5" s="67" t="s">
        <v>17</v>
      </c>
      <c r="AA5" s="67" t="s">
        <v>17</v>
      </c>
      <c r="AB5" s="67" t="s">
        <v>17</v>
      </c>
      <c r="AC5" s="67" t="s">
        <v>17</v>
      </c>
      <c r="AD5" s="67" t="s">
        <v>17</v>
      </c>
      <c r="AE5" s="67" t="s">
        <v>17</v>
      </c>
      <c r="AF5" s="67" t="s">
        <v>17</v>
      </c>
      <c r="AG5" s="67" t="s">
        <v>17</v>
      </c>
      <c r="AH5" s="67" t="s">
        <v>17</v>
      </c>
      <c r="AI5" s="67" t="s">
        <v>17</v>
      </c>
      <c r="AJ5" s="67" t="s">
        <v>17</v>
      </c>
      <c r="AK5" s="67" t="s">
        <v>17</v>
      </c>
      <c r="AL5" s="67" t="s">
        <v>17</v>
      </c>
      <c r="AM5" s="67" t="s">
        <v>17</v>
      </c>
      <c r="AN5" s="67" t="s">
        <v>17</v>
      </c>
      <c r="AO5" s="67" t="s">
        <v>17</v>
      </c>
      <c r="AP5" s="67" t="s">
        <v>17</v>
      </c>
      <c r="AQ5" s="67" t="s">
        <v>17</v>
      </c>
      <c r="AR5" s="12"/>
      <c r="AS5" s="12"/>
      <c r="AT5" s="12"/>
      <c r="AU5" s="12"/>
      <c r="AV5" s="12"/>
      <c r="AW5" s="12"/>
      <c r="AX5" s="12"/>
      <c r="AY5" s="12"/>
      <c r="AZ5" s="12"/>
      <c r="BA5" s="12"/>
    </row>
    <row r="6" spans="1:68" x14ac:dyDescent="0.35">
      <c r="A6" t="s">
        <v>23</v>
      </c>
      <c r="B6" t="s">
        <v>373</v>
      </c>
      <c r="C6" t="s">
        <v>331</v>
      </c>
      <c r="D6" t="s">
        <v>198</v>
      </c>
      <c r="E6" s="12">
        <f t="shared" si="0"/>
        <v>4160</v>
      </c>
      <c r="F6" s="13">
        <f t="shared" si="1"/>
        <v>520</v>
      </c>
      <c r="G6" s="12">
        <f t="shared" si="2"/>
        <v>26</v>
      </c>
      <c r="H6" s="119">
        <v>1</v>
      </c>
      <c r="I6" s="111">
        <f t="shared" si="3"/>
        <v>224640</v>
      </c>
      <c r="J6" s="134"/>
      <c r="K6" s="12">
        <v>1</v>
      </c>
      <c r="L6" s="119">
        <f>COUNTIF(R6:BA6,"-")</f>
        <v>26</v>
      </c>
      <c r="M6" s="119">
        <f>COUNTIF(R6:T6,"-")*K6</f>
        <v>3</v>
      </c>
      <c r="N6" s="119">
        <f>COUNTIF(U6:AF6,"-")*$K6</f>
        <v>12</v>
      </c>
      <c r="O6" s="119">
        <f t="shared" ref="O6:O12" si="4">COUNTIF(AG6:AR6,"-")*$K6</f>
        <v>11</v>
      </c>
      <c r="P6" s="119">
        <f t="shared" ref="P6:P12" si="5">COUNTIF(AS6:BD6,"-")*$K6</f>
        <v>0</v>
      </c>
      <c r="Q6" s="119"/>
      <c r="R6" s="67" t="s">
        <v>17</v>
      </c>
      <c r="S6" s="67" t="s">
        <v>17</v>
      </c>
      <c r="T6" s="67" t="s">
        <v>17</v>
      </c>
      <c r="U6" s="67" t="s">
        <v>17</v>
      </c>
      <c r="V6" s="67" t="s">
        <v>17</v>
      </c>
      <c r="W6" s="67" t="s">
        <v>17</v>
      </c>
      <c r="X6" s="67" t="s">
        <v>17</v>
      </c>
      <c r="Y6" s="67" t="s">
        <v>17</v>
      </c>
      <c r="Z6" s="67" t="s">
        <v>17</v>
      </c>
      <c r="AA6" s="67" t="s">
        <v>17</v>
      </c>
      <c r="AB6" s="67" t="s">
        <v>17</v>
      </c>
      <c r="AC6" s="67" t="s">
        <v>17</v>
      </c>
      <c r="AD6" s="67" t="s">
        <v>17</v>
      </c>
      <c r="AE6" s="67" t="s">
        <v>17</v>
      </c>
      <c r="AF6" s="67" t="s">
        <v>17</v>
      </c>
      <c r="AG6" s="67" t="s">
        <v>17</v>
      </c>
      <c r="AH6" s="67" t="s">
        <v>17</v>
      </c>
      <c r="AI6" s="67" t="s">
        <v>17</v>
      </c>
      <c r="AJ6" s="67" t="s">
        <v>17</v>
      </c>
      <c r="AK6" s="67" t="s">
        <v>17</v>
      </c>
      <c r="AL6" s="67" t="s">
        <v>17</v>
      </c>
      <c r="AM6" s="67" t="s">
        <v>17</v>
      </c>
      <c r="AN6" s="67" t="s">
        <v>17</v>
      </c>
      <c r="AO6" s="67" t="s">
        <v>17</v>
      </c>
      <c r="AP6" s="67" t="s">
        <v>17</v>
      </c>
      <c r="AQ6" s="67" t="s">
        <v>17</v>
      </c>
      <c r="AR6" s="12"/>
      <c r="AS6" s="12"/>
      <c r="AT6" s="12"/>
      <c r="AU6" s="12"/>
      <c r="AV6" s="12"/>
      <c r="AW6" s="12"/>
      <c r="AX6" s="12"/>
      <c r="AY6" s="12"/>
      <c r="AZ6" s="12"/>
      <c r="BA6" s="12"/>
    </row>
    <row r="7" spans="1:68" ht="21.65" customHeight="1" x14ac:dyDescent="0.35">
      <c r="A7" t="s">
        <v>23</v>
      </c>
      <c r="B7" s="44" t="s">
        <v>374</v>
      </c>
      <c r="C7" t="s">
        <v>357</v>
      </c>
      <c r="D7" t="s">
        <v>459</v>
      </c>
      <c r="E7" s="12">
        <f t="shared" si="0"/>
        <v>4160</v>
      </c>
      <c r="F7" s="13">
        <f t="shared" si="1"/>
        <v>520</v>
      </c>
      <c r="G7" s="12">
        <f t="shared" si="2"/>
        <v>26</v>
      </c>
      <c r="H7" s="119">
        <v>1</v>
      </c>
      <c r="I7" s="111">
        <f t="shared" si="3"/>
        <v>224640</v>
      </c>
      <c r="J7" s="134"/>
      <c r="K7" s="12">
        <v>1</v>
      </c>
      <c r="L7" s="119">
        <f>COUNTIF(R7:BA7,"-")</f>
        <v>26</v>
      </c>
      <c r="M7" s="119">
        <f>COUNTIF(R7:T7,"-")*K7</f>
        <v>3</v>
      </c>
      <c r="N7" s="119">
        <f>COUNTIF(U7:AF7,"-")*$K7</f>
        <v>12</v>
      </c>
      <c r="O7" s="119">
        <f t="shared" si="4"/>
        <v>11</v>
      </c>
      <c r="P7" s="119">
        <f t="shared" si="5"/>
        <v>0</v>
      </c>
      <c r="Q7" s="119"/>
      <c r="R7" s="67" t="s">
        <v>17</v>
      </c>
      <c r="S7" s="67" t="s">
        <v>17</v>
      </c>
      <c r="T7" s="67" t="s">
        <v>17</v>
      </c>
      <c r="U7" s="67" t="s">
        <v>17</v>
      </c>
      <c r="V7" s="67" t="s">
        <v>17</v>
      </c>
      <c r="W7" s="67" t="s">
        <v>17</v>
      </c>
      <c r="X7" s="67" t="s">
        <v>17</v>
      </c>
      <c r="Y7" s="67" t="s">
        <v>17</v>
      </c>
      <c r="Z7" s="67" t="s">
        <v>17</v>
      </c>
      <c r="AA7" s="67" t="s">
        <v>17</v>
      </c>
      <c r="AB7" s="67" t="s">
        <v>17</v>
      </c>
      <c r="AC7" s="67" t="s">
        <v>17</v>
      </c>
      <c r="AD7" s="67" t="s">
        <v>17</v>
      </c>
      <c r="AE7" s="67" t="s">
        <v>17</v>
      </c>
      <c r="AF7" s="67" t="s">
        <v>17</v>
      </c>
      <c r="AG7" s="67" t="s">
        <v>17</v>
      </c>
      <c r="AH7" s="67" t="s">
        <v>17</v>
      </c>
      <c r="AI7" s="67" t="s">
        <v>17</v>
      </c>
      <c r="AJ7" s="67" t="s">
        <v>17</v>
      </c>
      <c r="AK7" s="67" t="s">
        <v>17</v>
      </c>
      <c r="AL7" s="67" t="s">
        <v>17</v>
      </c>
      <c r="AM7" s="67" t="s">
        <v>17</v>
      </c>
      <c r="AN7" s="67" t="s">
        <v>17</v>
      </c>
      <c r="AO7" s="67" t="s">
        <v>17</v>
      </c>
      <c r="AP7" s="67" t="s">
        <v>17</v>
      </c>
      <c r="AQ7" s="67" t="s">
        <v>17</v>
      </c>
      <c r="AR7" s="12"/>
      <c r="AS7" s="12"/>
      <c r="AT7" s="12"/>
      <c r="AU7" s="12"/>
      <c r="AV7" s="12"/>
      <c r="AW7" s="12"/>
      <c r="AX7" s="12"/>
      <c r="AY7" s="12"/>
      <c r="AZ7" s="12"/>
      <c r="BA7" s="12"/>
    </row>
    <row r="8" spans="1:68" ht="19" customHeight="1" outlineLevel="1" x14ac:dyDescent="0.35">
      <c r="A8" s="71" t="s">
        <v>23</v>
      </c>
      <c r="B8" s="76"/>
      <c r="C8" s="76" t="s">
        <v>24</v>
      </c>
      <c r="D8" s="71" t="s">
        <v>278</v>
      </c>
      <c r="E8" s="76">
        <f t="shared" ca="1" si="0"/>
        <v>1096000</v>
      </c>
      <c r="F8" s="13">
        <f t="shared" ca="1" si="1"/>
        <v>137000</v>
      </c>
      <c r="G8" s="12">
        <f t="shared" ca="1" si="2"/>
        <v>0</v>
      </c>
      <c r="H8" s="119">
        <v>1</v>
      </c>
      <c r="I8" s="111">
        <f t="shared" ca="1" si="3"/>
        <v>0</v>
      </c>
      <c r="J8" s="134" t="s">
        <v>17</v>
      </c>
      <c r="K8" s="12">
        <v>1</v>
      </c>
      <c r="L8" s="119">
        <f ca="1">G8/(K8*8*22)</f>
        <v>38.920454545454547</v>
      </c>
      <c r="M8" s="119">
        <f>SUM(M9:M20)</f>
        <v>6</v>
      </c>
      <c r="N8" s="119">
        <f t="shared" ref="N8:P8" si="6">SUM(N9:N20)</f>
        <v>34</v>
      </c>
      <c r="O8" s="119">
        <f t="shared" si="6"/>
        <v>0</v>
      </c>
      <c r="P8" s="119">
        <f t="shared" si="6"/>
        <v>0</v>
      </c>
      <c r="Q8" s="119"/>
      <c r="R8" s="67"/>
      <c r="S8" s="67"/>
      <c r="T8" s="67"/>
      <c r="U8" s="67"/>
      <c r="V8" s="67"/>
      <c r="W8" s="67"/>
      <c r="X8" s="67"/>
      <c r="Y8" s="67"/>
      <c r="Z8" s="67"/>
      <c r="AA8" s="67"/>
      <c r="AB8" s="67"/>
      <c r="AC8" s="67"/>
      <c r="AD8" s="67"/>
      <c r="AE8" s="67"/>
      <c r="AF8" s="67"/>
    </row>
    <row r="9" spans="1:68" ht="14" customHeight="1" outlineLevel="2" x14ac:dyDescent="0.35">
      <c r="A9" s="71" t="s">
        <v>23</v>
      </c>
      <c r="B9" s="71" t="s">
        <v>360</v>
      </c>
      <c r="C9" s="71" t="s">
        <v>24</v>
      </c>
      <c r="D9" s="71" t="s">
        <v>280</v>
      </c>
      <c r="E9" s="71">
        <f t="shared" si="0"/>
        <v>480</v>
      </c>
      <c r="F9" s="72">
        <f t="shared" si="1"/>
        <v>60</v>
      </c>
      <c r="G9" s="66">
        <f t="shared" si="2"/>
        <v>3</v>
      </c>
      <c r="H9" s="120">
        <v>1</v>
      </c>
      <c r="I9" s="168">
        <f t="shared" si="3"/>
        <v>25920</v>
      </c>
      <c r="J9" s="135"/>
      <c r="K9" s="66">
        <v>1</v>
      </c>
      <c r="L9" s="120">
        <v>2.5</v>
      </c>
      <c r="M9" s="119">
        <f t="shared" ref="M9:M20" si="7">COUNTIF(R9:T9,"-")*K9</f>
        <v>3</v>
      </c>
      <c r="N9" s="119">
        <f t="shared" ref="N9:N20" si="8">COUNTIF(U9:AF9,"-")*$K9</f>
        <v>0</v>
      </c>
      <c r="O9" s="119">
        <f t="shared" si="4"/>
        <v>0</v>
      </c>
      <c r="P9" s="119">
        <f t="shared" si="5"/>
        <v>0</v>
      </c>
      <c r="Q9" s="119"/>
      <c r="R9" s="68" t="s">
        <v>17</v>
      </c>
      <c r="S9" s="68" t="s">
        <v>17</v>
      </c>
      <c r="T9" s="68" t="s">
        <v>17</v>
      </c>
    </row>
    <row r="10" spans="1:68" ht="12.5" customHeight="1" outlineLevel="2" x14ac:dyDescent="0.35">
      <c r="A10" s="71" t="s">
        <v>23</v>
      </c>
      <c r="B10" s="71" t="s">
        <v>360</v>
      </c>
      <c r="C10" s="71" t="s">
        <v>461</v>
      </c>
      <c r="D10" s="71" t="s">
        <v>198</v>
      </c>
      <c r="E10" s="71">
        <f t="shared" si="0"/>
        <v>480</v>
      </c>
      <c r="F10" s="72">
        <f t="shared" si="1"/>
        <v>60</v>
      </c>
      <c r="G10" s="66">
        <f t="shared" si="2"/>
        <v>3</v>
      </c>
      <c r="H10" s="120">
        <v>1</v>
      </c>
      <c r="I10" s="168">
        <f t="shared" si="3"/>
        <v>25920</v>
      </c>
      <c r="J10" s="135"/>
      <c r="K10" s="66">
        <v>1</v>
      </c>
      <c r="L10" s="120">
        <v>3.125</v>
      </c>
      <c r="M10" s="119">
        <f t="shared" si="7"/>
        <v>3</v>
      </c>
      <c r="N10" s="119">
        <f t="shared" si="8"/>
        <v>0</v>
      </c>
      <c r="O10" s="119">
        <f t="shared" si="4"/>
        <v>0</v>
      </c>
      <c r="P10" s="119">
        <f t="shared" si="5"/>
        <v>0</v>
      </c>
      <c r="Q10" s="119"/>
      <c r="R10" s="68" t="s">
        <v>17</v>
      </c>
      <c r="S10" s="68" t="s">
        <v>17</v>
      </c>
      <c r="T10" s="68" t="s">
        <v>17</v>
      </c>
      <c r="U10" s="66"/>
      <c r="V10" s="66"/>
      <c r="W10" s="66"/>
      <c r="X10" s="114"/>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row>
    <row r="11" spans="1:68" ht="15" customHeight="1" outlineLevel="2" x14ac:dyDescent="0.35">
      <c r="A11" s="71" t="s">
        <v>23</v>
      </c>
      <c r="B11" s="71" t="s">
        <v>361</v>
      </c>
      <c r="C11" s="71" t="s">
        <v>461</v>
      </c>
      <c r="D11" s="71" t="s">
        <v>459</v>
      </c>
      <c r="E11" s="71">
        <f t="shared" si="0"/>
        <v>320</v>
      </c>
      <c r="F11" s="72">
        <f t="shared" si="1"/>
        <v>40</v>
      </c>
      <c r="G11" s="66">
        <f t="shared" si="2"/>
        <v>2</v>
      </c>
      <c r="H11" s="120">
        <v>1</v>
      </c>
      <c r="I11" s="168">
        <f t="shared" si="3"/>
        <v>17280</v>
      </c>
      <c r="J11" s="135"/>
      <c r="K11" s="66">
        <v>3</v>
      </c>
      <c r="L11" s="120">
        <v>1.6666666666666667</v>
      </c>
      <c r="M11" s="119">
        <f t="shared" si="7"/>
        <v>0</v>
      </c>
      <c r="N11" s="119">
        <f t="shared" si="8"/>
        <v>6</v>
      </c>
      <c r="O11" s="119">
        <f t="shared" si="4"/>
        <v>0</v>
      </c>
      <c r="P11" s="119">
        <f t="shared" si="5"/>
        <v>0</v>
      </c>
      <c r="Q11" s="119"/>
      <c r="U11" s="69" t="s">
        <v>17</v>
      </c>
      <c r="V11" s="69" t="s">
        <v>17</v>
      </c>
      <c r="AA11" s="66"/>
      <c r="AB11" s="66"/>
      <c r="AC11" s="66"/>
      <c r="AD11" s="66"/>
      <c r="AE11" s="66"/>
      <c r="AF11" s="66"/>
    </row>
    <row r="12" spans="1:68" ht="15" customHeight="1" outlineLevel="2" x14ac:dyDescent="0.35">
      <c r="A12" s="71" t="s">
        <v>23</v>
      </c>
      <c r="B12" s="71" t="s">
        <v>361</v>
      </c>
      <c r="C12" s="71" t="s">
        <v>461</v>
      </c>
      <c r="D12" s="71" t="s">
        <v>227</v>
      </c>
      <c r="E12" s="71">
        <f t="shared" si="0"/>
        <v>640</v>
      </c>
      <c r="F12" s="72">
        <f t="shared" si="1"/>
        <v>80</v>
      </c>
      <c r="G12" s="66">
        <f t="shared" si="2"/>
        <v>4</v>
      </c>
      <c r="H12" s="120">
        <v>1</v>
      </c>
      <c r="I12" s="168">
        <f t="shared" si="3"/>
        <v>34560</v>
      </c>
      <c r="J12" s="135"/>
      <c r="K12" s="66">
        <v>3</v>
      </c>
      <c r="L12" s="120">
        <v>3.3333333333333335</v>
      </c>
      <c r="M12" s="119">
        <f t="shared" si="7"/>
        <v>0</v>
      </c>
      <c r="N12" s="119">
        <f t="shared" si="8"/>
        <v>12</v>
      </c>
      <c r="O12" s="119">
        <f t="shared" si="4"/>
        <v>0</v>
      </c>
      <c r="P12" s="119">
        <f t="shared" si="5"/>
        <v>0</v>
      </c>
      <c r="Q12" s="119"/>
      <c r="W12" s="69" t="s">
        <v>17</v>
      </c>
      <c r="X12" s="69" t="s">
        <v>17</v>
      </c>
      <c r="Y12" s="69" t="s">
        <v>17</v>
      </c>
      <c r="Z12" s="69" t="s">
        <v>17</v>
      </c>
      <c r="AA12" s="66"/>
      <c r="AB12" s="66"/>
      <c r="AC12" s="66"/>
      <c r="AD12" s="66"/>
      <c r="AE12" s="66"/>
      <c r="AF12" s="66"/>
    </row>
    <row r="13" spans="1:68" ht="9.5" customHeight="1" outlineLevel="2" x14ac:dyDescent="0.35">
      <c r="A13" s="71" t="s">
        <v>23</v>
      </c>
      <c r="B13" s="71" t="s">
        <v>263</v>
      </c>
      <c r="C13" s="71" t="s">
        <v>461</v>
      </c>
      <c r="D13" s="71" t="s">
        <v>279</v>
      </c>
      <c r="E13" s="71">
        <f t="shared" si="0"/>
        <v>0</v>
      </c>
      <c r="F13" s="72" t="s">
        <v>248</v>
      </c>
      <c r="G13" s="66">
        <v>0</v>
      </c>
      <c r="H13" s="120">
        <v>0</v>
      </c>
      <c r="I13" s="120"/>
      <c r="J13" s="120"/>
      <c r="K13" s="66">
        <v>0</v>
      </c>
      <c r="L13" s="120">
        <v>0</v>
      </c>
      <c r="M13" s="119">
        <f t="shared" si="7"/>
        <v>0</v>
      </c>
      <c r="N13" s="119">
        <f t="shared" si="8"/>
        <v>0</v>
      </c>
      <c r="O13" s="119">
        <f t="shared" ref="O13" si="9">COUNTIF(AG13:AQ13,"-")*$K13</f>
        <v>0</v>
      </c>
      <c r="P13" s="119"/>
      <c r="Q13" s="119"/>
      <c r="X13" s="108"/>
      <c r="Y13" s="66"/>
      <c r="Z13" s="66"/>
      <c r="AA13" s="66"/>
      <c r="AB13" s="66"/>
      <c r="AC13" s="66"/>
      <c r="AD13" s="66"/>
      <c r="AE13" s="66"/>
      <c r="AF13" s="66"/>
    </row>
    <row r="14" spans="1:68" ht="20.149999999999999" customHeight="1" outlineLevel="2" x14ac:dyDescent="0.35">
      <c r="A14" s="71" t="s">
        <v>23</v>
      </c>
      <c r="B14" s="71" t="s">
        <v>361</v>
      </c>
      <c r="C14" s="71" t="s">
        <v>461</v>
      </c>
      <c r="D14" s="71" t="s">
        <v>278</v>
      </c>
      <c r="E14" s="71">
        <f t="shared" si="0"/>
        <v>640</v>
      </c>
      <c r="F14" s="72">
        <f t="shared" ref="F14:F24" si="10">E14/8</f>
        <v>80</v>
      </c>
      <c r="G14" s="66">
        <f t="shared" ref="G14:G24" si="11">COUNTIF(K14:AT14, "-")*H14</f>
        <v>4</v>
      </c>
      <c r="H14" s="120">
        <v>1</v>
      </c>
      <c r="I14" s="168">
        <f t="shared" ref="I14:I24" si="12">E14*54</f>
        <v>34560</v>
      </c>
      <c r="J14" s="135"/>
      <c r="K14" s="66">
        <v>2</v>
      </c>
      <c r="L14" s="120">
        <v>2.1875</v>
      </c>
      <c r="M14" s="119">
        <f t="shared" si="7"/>
        <v>0</v>
      </c>
      <c r="N14" s="119">
        <f t="shared" si="8"/>
        <v>8</v>
      </c>
      <c r="O14" s="119">
        <f t="shared" ref="O14:O24" si="13">COUNTIF(AG14:AR14,"-")*$K14</f>
        <v>0</v>
      </c>
      <c r="P14" s="119">
        <f t="shared" ref="P14:P24" si="14">COUNTIF(AS14:BD14,"-")*$K14</f>
        <v>0</v>
      </c>
      <c r="Q14" s="119"/>
      <c r="Z14" s="69" t="s">
        <v>17</v>
      </c>
      <c r="AA14" s="69" t="s">
        <v>17</v>
      </c>
      <c r="AB14" s="69" t="s">
        <v>17</v>
      </c>
      <c r="AC14" s="69" t="s">
        <v>17</v>
      </c>
    </row>
    <row r="15" spans="1:68" ht="14" customHeight="1" outlineLevel="2" x14ac:dyDescent="0.35">
      <c r="A15" s="71" t="s">
        <v>23</v>
      </c>
      <c r="B15" s="71" t="s">
        <v>361</v>
      </c>
      <c r="C15" s="71" t="s">
        <v>461</v>
      </c>
      <c r="D15" s="71" t="s">
        <v>280</v>
      </c>
      <c r="E15" s="71">
        <f t="shared" si="0"/>
        <v>480</v>
      </c>
      <c r="F15" s="72">
        <f t="shared" si="10"/>
        <v>60</v>
      </c>
      <c r="G15" s="66">
        <f t="shared" si="11"/>
        <v>3</v>
      </c>
      <c r="H15" s="120">
        <v>1</v>
      </c>
      <c r="I15" s="168">
        <f t="shared" si="12"/>
        <v>25920</v>
      </c>
      <c r="J15" s="135"/>
      <c r="K15" s="66">
        <v>1</v>
      </c>
      <c r="L15" s="120">
        <v>2.1875</v>
      </c>
      <c r="M15" s="119">
        <f t="shared" si="7"/>
        <v>0</v>
      </c>
      <c r="N15" s="119">
        <f t="shared" si="8"/>
        <v>3</v>
      </c>
      <c r="O15" s="119">
        <f t="shared" si="13"/>
        <v>0</v>
      </c>
      <c r="P15" s="119">
        <f t="shared" si="14"/>
        <v>0</v>
      </c>
      <c r="Q15" s="119"/>
      <c r="Z15" s="69" t="s">
        <v>17</v>
      </c>
      <c r="AA15" s="69" t="s">
        <v>17</v>
      </c>
      <c r="AB15" s="69" t="s">
        <v>17</v>
      </c>
    </row>
    <row r="16" spans="1:68" ht="16.5" customHeight="1" outlineLevel="2" x14ac:dyDescent="0.35">
      <c r="A16" s="71" t="s">
        <v>23</v>
      </c>
      <c r="B16" s="71" t="s">
        <v>244</v>
      </c>
      <c r="C16" s="71" t="s">
        <v>388</v>
      </c>
      <c r="D16" s="71" t="s">
        <v>198</v>
      </c>
      <c r="E16" s="71">
        <f t="shared" si="0"/>
        <v>160</v>
      </c>
      <c r="F16" s="72">
        <f t="shared" si="10"/>
        <v>20</v>
      </c>
      <c r="G16" s="66">
        <f t="shared" si="11"/>
        <v>1</v>
      </c>
      <c r="H16" s="120">
        <v>1</v>
      </c>
      <c r="I16" s="168">
        <f t="shared" si="12"/>
        <v>8640</v>
      </c>
      <c r="J16" s="135"/>
      <c r="K16" s="66">
        <v>1</v>
      </c>
      <c r="L16" s="120">
        <v>1.25</v>
      </c>
      <c r="M16" s="119">
        <f t="shared" si="7"/>
        <v>0</v>
      </c>
      <c r="N16" s="119">
        <f t="shared" si="8"/>
        <v>1</v>
      </c>
      <c r="O16" s="119">
        <f t="shared" si="13"/>
        <v>0</v>
      </c>
      <c r="P16" s="119">
        <f t="shared" si="14"/>
        <v>0</v>
      </c>
      <c r="Q16" s="119"/>
      <c r="AB16" s="70" t="s">
        <v>17</v>
      </c>
    </row>
    <row r="17" spans="1:32" ht="20" customHeight="1" outlineLevel="2" x14ac:dyDescent="0.35">
      <c r="A17" s="71" t="s">
        <v>23</v>
      </c>
      <c r="B17" s="71" t="s">
        <v>244</v>
      </c>
      <c r="C17" s="71" t="s">
        <v>388</v>
      </c>
      <c r="D17" s="71" t="s">
        <v>459</v>
      </c>
      <c r="E17" s="71">
        <f t="shared" si="0"/>
        <v>320</v>
      </c>
      <c r="F17" s="72">
        <f t="shared" si="10"/>
        <v>40</v>
      </c>
      <c r="G17" s="66">
        <f t="shared" si="11"/>
        <v>2</v>
      </c>
      <c r="H17" s="120">
        <v>1</v>
      </c>
      <c r="I17" s="168">
        <f t="shared" si="12"/>
        <v>17280</v>
      </c>
      <c r="J17" s="135"/>
      <c r="K17" s="66">
        <v>1</v>
      </c>
      <c r="L17" s="120">
        <v>2</v>
      </c>
      <c r="M17" s="119">
        <f t="shared" si="7"/>
        <v>0</v>
      </c>
      <c r="N17" s="119">
        <f t="shared" si="8"/>
        <v>2</v>
      </c>
      <c r="O17" s="119">
        <f t="shared" si="13"/>
        <v>0</v>
      </c>
      <c r="P17" s="119">
        <f t="shared" si="14"/>
        <v>0</v>
      </c>
      <c r="Q17" s="119"/>
      <c r="AC17" s="70" t="s">
        <v>17</v>
      </c>
      <c r="AD17" s="70" t="s">
        <v>17</v>
      </c>
    </row>
    <row r="18" spans="1:32" ht="16.5" customHeight="1" outlineLevel="2" x14ac:dyDescent="0.35">
      <c r="A18" s="71" t="s">
        <v>23</v>
      </c>
      <c r="B18" s="71" t="s">
        <v>362</v>
      </c>
      <c r="C18" s="71" t="s">
        <v>388</v>
      </c>
      <c r="D18" s="71" t="s">
        <v>227</v>
      </c>
      <c r="E18" s="71">
        <f t="shared" si="0"/>
        <v>320</v>
      </c>
      <c r="F18" s="72">
        <f t="shared" si="10"/>
        <v>40</v>
      </c>
      <c r="G18" s="66">
        <f t="shared" si="11"/>
        <v>2</v>
      </c>
      <c r="H18" s="120">
        <v>1</v>
      </c>
      <c r="I18" s="168">
        <f t="shared" si="12"/>
        <v>17280</v>
      </c>
      <c r="J18" s="135"/>
      <c r="K18" s="66">
        <v>1</v>
      </c>
      <c r="L18" s="120">
        <v>2</v>
      </c>
      <c r="M18" s="119">
        <f t="shared" si="7"/>
        <v>0</v>
      </c>
      <c r="N18" s="119">
        <f t="shared" si="8"/>
        <v>2</v>
      </c>
      <c r="O18" s="119">
        <f t="shared" si="13"/>
        <v>0</v>
      </c>
      <c r="P18" s="119">
        <f t="shared" si="14"/>
        <v>0</v>
      </c>
      <c r="Q18" s="119"/>
      <c r="AD18" s="70" t="s">
        <v>17</v>
      </c>
      <c r="AE18" s="70" t="s">
        <v>17</v>
      </c>
    </row>
    <row r="19" spans="1:32" ht="15" customHeight="1" outlineLevel="2" x14ac:dyDescent="0.35">
      <c r="A19" s="71" t="s">
        <v>23</v>
      </c>
      <c r="B19" s="71" t="s">
        <v>379</v>
      </c>
      <c r="C19" s="71" t="s">
        <v>388</v>
      </c>
      <c r="D19" s="71" t="s">
        <v>279</v>
      </c>
      <c r="E19" s="71">
        <f t="shared" si="0"/>
        <v>0</v>
      </c>
      <c r="F19" s="72">
        <f t="shared" si="10"/>
        <v>0</v>
      </c>
      <c r="G19" s="66">
        <f t="shared" si="11"/>
        <v>0</v>
      </c>
      <c r="H19" s="120">
        <v>1</v>
      </c>
      <c r="I19" s="168">
        <f t="shared" si="12"/>
        <v>0</v>
      </c>
      <c r="J19" s="135"/>
      <c r="K19" s="66">
        <v>2</v>
      </c>
      <c r="L19" s="120">
        <v>1.5625</v>
      </c>
      <c r="M19" s="119">
        <f t="shared" si="7"/>
        <v>0</v>
      </c>
      <c r="N19" s="119">
        <f t="shared" si="8"/>
        <v>0</v>
      </c>
      <c r="O19" s="119">
        <f t="shared" si="13"/>
        <v>0</v>
      </c>
      <c r="P19" s="119">
        <f t="shared" si="14"/>
        <v>0</v>
      </c>
      <c r="Q19" s="119"/>
    </row>
    <row r="20" spans="1:32" ht="15" customHeight="1" outlineLevel="2" x14ac:dyDescent="0.35">
      <c r="A20" s="71" t="s">
        <v>23</v>
      </c>
      <c r="B20" s="71" t="s">
        <v>379</v>
      </c>
      <c r="C20" s="71" t="s">
        <v>388</v>
      </c>
      <c r="D20" s="71" t="s">
        <v>278</v>
      </c>
      <c r="E20" s="71">
        <f t="shared" si="0"/>
        <v>0</v>
      </c>
      <c r="F20" s="72">
        <f t="shared" si="10"/>
        <v>0</v>
      </c>
      <c r="G20" s="66">
        <f t="shared" si="11"/>
        <v>0</v>
      </c>
      <c r="H20" s="120">
        <v>1</v>
      </c>
      <c r="I20" s="168">
        <f t="shared" si="12"/>
        <v>0</v>
      </c>
      <c r="J20" s="135"/>
      <c r="K20" s="66">
        <v>4</v>
      </c>
      <c r="L20" s="120">
        <v>1.5625</v>
      </c>
      <c r="M20" s="119">
        <f t="shared" si="7"/>
        <v>0</v>
      </c>
      <c r="N20" s="119">
        <f t="shared" si="8"/>
        <v>0</v>
      </c>
      <c r="O20" s="119">
        <f t="shared" si="13"/>
        <v>0</v>
      </c>
      <c r="P20" s="119">
        <f t="shared" si="14"/>
        <v>0</v>
      </c>
      <c r="Q20" s="119"/>
    </row>
    <row r="21" spans="1:32" ht="15" customHeight="1" outlineLevel="1" x14ac:dyDescent="0.35">
      <c r="A21" s="71" t="s">
        <v>23</v>
      </c>
      <c r="B21" s="71"/>
      <c r="C21" s="76" t="s">
        <v>388</v>
      </c>
      <c r="D21" s="71" t="s">
        <v>280</v>
      </c>
      <c r="E21" s="77">
        <f t="shared" si="0"/>
        <v>0</v>
      </c>
      <c r="F21" s="13">
        <f t="shared" si="10"/>
        <v>0</v>
      </c>
      <c r="G21" s="119">
        <f t="shared" si="11"/>
        <v>0</v>
      </c>
      <c r="H21" s="119">
        <v>1</v>
      </c>
      <c r="I21" s="111">
        <f t="shared" si="12"/>
        <v>0</v>
      </c>
      <c r="J21" s="169" t="s">
        <v>467</v>
      </c>
      <c r="K21" s="119">
        <f>SUM(K22:K26)</f>
        <v>12</v>
      </c>
      <c r="L21" s="119">
        <f>SUM(L22:L26)</f>
        <v>13</v>
      </c>
      <c r="M21" s="119">
        <f>SUM(M22:M26)</f>
        <v>0</v>
      </c>
      <c r="N21" s="119">
        <f t="shared" ref="N21:P21" si="15">SUM(N22:N26)</f>
        <v>39</v>
      </c>
      <c r="O21" s="119">
        <f t="shared" si="15"/>
        <v>0</v>
      </c>
      <c r="P21" s="119">
        <f t="shared" si="15"/>
        <v>0</v>
      </c>
      <c r="Q21" s="119"/>
      <c r="U21" s="67"/>
      <c r="V21" s="67"/>
      <c r="W21" s="67"/>
      <c r="X21" s="67"/>
      <c r="Y21" s="67"/>
      <c r="Z21" s="67"/>
      <c r="AA21" s="67"/>
      <c r="AB21" s="67"/>
      <c r="AC21" s="67"/>
      <c r="AD21" s="67"/>
      <c r="AE21" s="67"/>
      <c r="AF21" s="67"/>
    </row>
    <row r="22" spans="1:32" ht="15" customHeight="1" outlineLevel="2" x14ac:dyDescent="0.35">
      <c r="A22" s="71" t="s">
        <v>23</v>
      </c>
      <c r="B22" s="71" t="s">
        <v>360</v>
      </c>
      <c r="C22" s="71" t="s">
        <v>44</v>
      </c>
      <c r="D22" s="71" t="s">
        <v>198</v>
      </c>
      <c r="E22" s="71">
        <f t="shared" si="0"/>
        <v>320</v>
      </c>
      <c r="F22" s="72">
        <f t="shared" si="10"/>
        <v>40</v>
      </c>
      <c r="G22" s="66">
        <f t="shared" si="11"/>
        <v>2</v>
      </c>
      <c r="H22" s="120">
        <v>1</v>
      </c>
      <c r="I22" s="168">
        <f t="shared" si="12"/>
        <v>17280</v>
      </c>
      <c r="J22" s="135"/>
      <c r="K22" s="66">
        <v>2</v>
      </c>
      <c r="L22" s="120">
        <f>COUNTIF(R22:BA22,"-")</f>
        <v>2</v>
      </c>
      <c r="M22" s="119">
        <f>COUNTIF(R22:T22,"-")*K22</f>
        <v>0</v>
      </c>
      <c r="N22" s="119">
        <f>COUNTIF(U22:AF22,"-")*$K22</f>
        <v>4</v>
      </c>
      <c r="O22" s="119">
        <f t="shared" si="13"/>
        <v>0</v>
      </c>
      <c r="P22" s="119">
        <f t="shared" si="14"/>
        <v>0</v>
      </c>
      <c r="Q22" s="119"/>
      <c r="U22" s="68" t="s">
        <v>17</v>
      </c>
      <c r="V22" s="68" t="s">
        <v>17</v>
      </c>
    </row>
    <row r="23" spans="1:32" ht="15" customHeight="1" outlineLevel="2" x14ac:dyDescent="0.35">
      <c r="A23" s="71" t="s">
        <v>23</v>
      </c>
      <c r="B23" s="71" t="s">
        <v>364</v>
      </c>
      <c r="C23" s="71" t="s">
        <v>44</v>
      </c>
      <c r="D23" s="71" t="s">
        <v>459</v>
      </c>
      <c r="E23" s="71">
        <f t="shared" si="0"/>
        <v>960</v>
      </c>
      <c r="F23" s="72">
        <f t="shared" si="10"/>
        <v>120</v>
      </c>
      <c r="G23" s="66">
        <f t="shared" si="11"/>
        <v>6</v>
      </c>
      <c r="H23" s="120">
        <v>1</v>
      </c>
      <c r="I23" s="168">
        <f t="shared" si="12"/>
        <v>51840</v>
      </c>
      <c r="J23" s="135"/>
      <c r="K23" s="66">
        <v>3</v>
      </c>
      <c r="L23" s="120">
        <f t="shared" ref="L23:L26" si="16">COUNTIF(R23:BA23,"-")</f>
        <v>6</v>
      </c>
      <c r="M23" s="119">
        <f>COUNTIF(R23:T23,"-")*K23</f>
        <v>0</v>
      </c>
      <c r="N23" s="119">
        <f>COUNTIF(U23:AF23,"-")*$K23</f>
        <v>18</v>
      </c>
      <c r="O23" s="119">
        <f t="shared" si="13"/>
        <v>0</v>
      </c>
      <c r="P23" s="119">
        <f t="shared" si="14"/>
        <v>0</v>
      </c>
      <c r="Q23" s="119"/>
      <c r="Z23" s="69" t="s">
        <v>17</v>
      </c>
      <c r="AA23" s="69" t="s">
        <v>17</v>
      </c>
      <c r="AB23" s="69" t="s">
        <v>17</v>
      </c>
      <c r="AC23" s="69" t="s">
        <v>17</v>
      </c>
      <c r="AD23" s="69" t="s">
        <v>17</v>
      </c>
      <c r="AE23" s="69" t="s">
        <v>17</v>
      </c>
    </row>
    <row r="24" spans="1:32" ht="15" customHeight="1" outlineLevel="2" x14ac:dyDescent="0.35">
      <c r="A24" s="71" t="s">
        <v>23</v>
      </c>
      <c r="B24" s="71" t="s">
        <v>399</v>
      </c>
      <c r="C24" s="71" t="s">
        <v>44</v>
      </c>
      <c r="D24" s="71" t="s">
        <v>227</v>
      </c>
      <c r="E24" s="71">
        <f t="shared" si="0"/>
        <v>480</v>
      </c>
      <c r="F24" s="72">
        <f t="shared" si="10"/>
        <v>60</v>
      </c>
      <c r="G24" s="66">
        <f t="shared" si="11"/>
        <v>3</v>
      </c>
      <c r="H24" s="120">
        <v>1</v>
      </c>
      <c r="I24" s="168">
        <f t="shared" si="12"/>
        <v>25920</v>
      </c>
      <c r="J24" s="135"/>
      <c r="K24" s="66">
        <v>3</v>
      </c>
      <c r="L24" s="120">
        <f t="shared" si="16"/>
        <v>3</v>
      </c>
      <c r="M24" s="119">
        <f>COUNTIF(R24:T24,"-")*K24</f>
        <v>0</v>
      </c>
      <c r="N24" s="119">
        <f>COUNTIF(U24:AF24,"-")*$K24</f>
        <v>9</v>
      </c>
      <c r="O24" s="119">
        <f t="shared" si="13"/>
        <v>0</v>
      </c>
      <c r="P24" s="119">
        <f t="shared" si="14"/>
        <v>0</v>
      </c>
      <c r="Q24" s="119"/>
      <c r="AB24" s="73" t="s">
        <v>17</v>
      </c>
      <c r="AC24" s="73" t="s">
        <v>17</v>
      </c>
      <c r="AD24" s="73" t="s">
        <v>17</v>
      </c>
    </row>
    <row r="25" spans="1:32" ht="11.5" customHeight="1" outlineLevel="2" x14ac:dyDescent="0.35">
      <c r="A25" s="71" t="s">
        <v>23</v>
      </c>
      <c r="B25" s="71" t="s">
        <v>263</v>
      </c>
      <c r="C25" s="71" t="s">
        <v>44</v>
      </c>
      <c r="D25" s="71" t="s">
        <v>279</v>
      </c>
      <c r="E25" s="71">
        <f t="shared" si="0"/>
        <v>0</v>
      </c>
      <c r="F25" s="72" t="s">
        <v>248</v>
      </c>
      <c r="G25" s="66">
        <v>0</v>
      </c>
      <c r="H25" s="120">
        <v>0</v>
      </c>
      <c r="I25" s="120"/>
      <c r="J25" s="120"/>
      <c r="K25" s="66">
        <v>0</v>
      </c>
      <c r="L25" s="120">
        <v>0</v>
      </c>
      <c r="M25" s="119">
        <f>COUNTIF(R25:T25,"-")*K25</f>
        <v>0</v>
      </c>
      <c r="N25" s="119">
        <f>COUNTIF(U25:AF25,"-")*$K25</f>
        <v>0</v>
      </c>
      <c r="O25" s="119">
        <f>COUNTIF(AG25:AQ25,"-")*$K25</f>
        <v>0</v>
      </c>
      <c r="P25" s="119"/>
      <c r="Q25" s="119"/>
      <c r="AC25" s="108"/>
      <c r="AD25" s="108"/>
    </row>
    <row r="26" spans="1:32" ht="15" customHeight="1" outlineLevel="2" x14ac:dyDescent="0.35">
      <c r="A26" s="71" t="s">
        <v>23</v>
      </c>
      <c r="B26" s="71" t="s">
        <v>244</v>
      </c>
      <c r="C26" s="71" t="s">
        <v>44</v>
      </c>
      <c r="D26" s="71" t="s">
        <v>278</v>
      </c>
      <c r="E26" s="71">
        <f t="shared" si="0"/>
        <v>320</v>
      </c>
      <c r="F26" s="72">
        <f t="shared" ref="F26:F30" si="17">E26/8</f>
        <v>40</v>
      </c>
      <c r="G26" s="66">
        <f t="shared" ref="G26:G30" si="18">COUNTIF(K26:AT26, "-")*H26</f>
        <v>2</v>
      </c>
      <c r="H26" s="120">
        <v>1</v>
      </c>
      <c r="I26" s="168">
        <f t="shared" ref="I26:I30" si="19">E26*54</f>
        <v>17280</v>
      </c>
      <c r="J26" s="135"/>
      <c r="K26" s="66">
        <v>4</v>
      </c>
      <c r="L26" s="120">
        <f t="shared" si="16"/>
        <v>2</v>
      </c>
      <c r="M26" s="119">
        <f>COUNTIF(R26:T26,"-")*K26</f>
        <v>0</v>
      </c>
      <c r="N26" s="119">
        <f>COUNTIF(U26:AF26,"-")*$K26</f>
        <v>8</v>
      </c>
      <c r="O26" s="119">
        <f t="shared" ref="O26:O30" si="20">COUNTIF(AG26:AR26,"-")*$K26</f>
        <v>0</v>
      </c>
      <c r="P26" s="119">
        <f t="shared" ref="P26:P30" si="21">COUNTIF(AS26:BD26,"-")*$K26</f>
        <v>0</v>
      </c>
      <c r="Q26" s="119"/>
      <c r="AE26" s="70" t="s">
        <v>17</v>
      </c>
      <c r="AF26" s="70" t="s">
        <v>17</v>
      </c>
    </row>
    <row r="27" spans="1:32" ht="15" customHeight="1" outlineLevel="1" x14ac:dyDescent="0.35">
      <c r="A27" s="71" t="s">
        <v>23</v>
      </c>
      <c r="B27" s="71"/>
      <c r="C27" s="76" t="s">
        <v>44</v>
      </c>
      <c r="D27" s="71" t="s">
        <v>280</v>
      </c>
      <c r="E27" s="77">
        <f t="shared" si="0"/>
        <v>0</v>
      </c>
      <c r="F27" s="13">
        <f t="shared" si="17"/>
        <v>0</v>
      </c>
      <c r="G27" s="12">
        <f t="shared" si="18"/>
        <v>0</v>
      </c>
      <c r="H27" s="12">
        <v>1</v>
      </c>
      <c r="I27" s="111">
        <f t="shared" si="19"/>
        <v>0</v>
      </c>
      <c r="J27" s="170" t="s">
        <v>468</v>
      </c>
      <c r="K27" s="12">
        <f>SUM(K28:K32)</f>
        <v>12</v>
      </c>
      <c r="L27" s="12">
        <f>SUM(L28:L32)</f>
        <v>6</v>
      </c>
      <c r="M27" s="12">
        <f>SUM(M28:M32)</f>
        <v>2</v>
      </c>
      <c r="N27" s="12">
        <f t="shared" ref="N27:P27" si="22">SUM(N28:N32)</f>
        <v>16</v>
      </c>
      <c r="O27" s="12">
        <f t="shared" si="22"/>
        <v>0</v>
      </c>
      <c r="P27" s="12">
        <f t="shared" si="22"/>
        <v>0</v>
      </c>
      <c r="Q27" s="119"/>
      <c r="R27" s="67"/>
      <c r="S27" s="67"/>
      <c r="T27" s="67"/>
      <c r="U27" s="67"/>
      <c r="V27" s="67"/>
      <c r="W27" s="67"/>
      <c r="X27" s="67"/>
      <c r="Y27" s="67"/>
      <c r="Z27" s="67"/>
      <c r="AA27" s="67"/>
      <c r="AB27" s="67"/>
      <c r="AC27" s="67"/>
      <c r="AD27" s="67"/>
      <c r="AE27" s="67"/>
    </row>
    <row r="28" spans="1:32" ht="15" customHeight="1" outlineLevel="2" x14ac:dyDescent="0.35">
      <c r="A28" s="71" t="s">
        <v>23</v>
      </c>
      <c r="B28" s="71" t="s">
        <v>360</v>
      </c>
      <c r="C28" s="71" t="s">
        <v>44</v>
      </c>
      <c r="D28" s="71" t="s">
        <v>198</v>
      </c>
      <c r="E28" s="71">
        <f t="shared" si="0"/>
        <v>160</v>
      </c>
      <c r="F28" s="72">
        <f t="shared" si="17"/>
        <v>20</v>
      </c>
      <c r="G28" s="66">
        <f t="shared" si="18"/>
        <v>1</v>
      </c>
      <c r="H28" s="120">
        <v>1</v>
      </c>
      <c r="I28" s="168">
        <f t="shared" si="19"/>
        <v>8640</v>
      </c>
      <c r="J28" s="135"/>
      <c r="K28" s="66">
        <v>2</v>
      </c>
      <c r="L28" s="120">
        <f>COUNTIF(R28:BA28,"-")</f>
        <v>1</v>
      </c>
      <c r="M28" s="119">
        <f>COUNTIF(R28:T28,"-")*K28</f>
        <v>2</v>
      </c>
      <c r="N28" s="119">
        <f>COUNTIF(U28:AF28,"-")*$K28</f>
        <v>0</v>
      </c>
      <c r="O28" s="119">
        <f t="shared" si="20"/>
        <v>0</v>
      </c>
      <c r="P28" s="119">
        <f t="shared" si="21"/>
        <v>0</v>
      </c>
      <c r="Q28" s="119"/>
      <c r="R28" s="68" t="s">
        <v>17</v>
      </c>
    </row>
    <row r="29" spans="1:32" ht="15" customHeight="1" outlineLevel="2" x14ac:dyDescent="0.35">
      <c r="A29" s="71" t="s">
        <v>23</v>
      </c>
      <c r="B29" s="71" t="s">
        <v>365</v>
      </c>
      <c r="C29" s="71" t="s">
        <v>44</v>
      </c>
      <c r="D29" s="71" t="s">
        <v>459</v>
      </c>
      <c r="E29" s="71">
        <f t="shared" si="0"/>
        <v>320</v>
      </c>
      <c r="F29" s="72">
        <f t="shared" si="17"/>
        <v>40</v>
      </c>
      <c r="G29" s="66">
        <f t="shared" si="18"/>
        <v>2</v>
      </c>
      <c r="H29" s="120">
        <v>1</v>
      </c>
      <c r="I29" s="168">
        <f t="shared" si="19"/>
        <v>17280</v>
      </c>
      <c r="J29" s="135"/>
      <c r="K29" s="66">
        <v>3</v>
      </c>
      <c r="L29" s="120">
        <f>COUNTIF(R29:BA29,"-")</f>
        <v>2</v>
      </c>
      <c r="M29" s="119">
        <f>COUNTIF(R29:T29,"-")*K29</f>
        <v>0</v>
      </c>
      <c r="N29" s="119">
        <f>COUNTIF(U29:AF29,"-")*$K29</f>
        <v>6</v>
      </c>
      <c r="O29" s="119">
        <f t="shared" si="20"/>
        <v>0</v>
      </c>
      <c r="P29" s="119">
        <f t="shared" si="21"/>
        <v>0</v>
      </c>
      <c r="Q29" s="119"/>
      <c r="AB29" s="69" t="s">
        <v>17</v>
      </c>
      <c r="AC29" s="69" t="s">
        <v>17</v>
      </c>
    </row>
    <row r="30" spans="1:32" ht="15" customHeight="1" outlineLevel="2" x14ac:dyDescent="0.35">
      <c r="A30" s="71" t="s">
        <v>23</v>
      </c>
      <c r="B30" s="71" t="s">
        <v>399</v>
      </c>
      <c r="C30" s="71" t="s">
        <v>44</v>
      </c>
      <c r="D30" s="71" t="s">
        <v>227</v>
      </c>
      <c r="E30" s="71">
        <f t="shared" si="0"/>
        <v>320</v>
      </c>
      <c r="F30" s="72">
        <f t="shared" si="17"/>
        <v>40</v>
      </c>
      <c r="G30" s="66">
        <f t="shared" si="18"/>
        <v>2</v>
      </c>
      <c r="H30" s="120">
        <v>1</v>
      </c>
      <c r="I30" s="168">
        <f t="shared" si="19"/>
        <v>17280</v>
      </c>
      <c r="J30" s="135"/>
      <c r="K30" s="66">
        <v>3</v>
      </c>
      <c r="L30" s="120">
        <f>COUNTIF(R30:BA30,"-")</f>
        <v>2</v>
      </c>
      <c r="M30" s="119">
        <f>COUNTIF(R30:T30,"-")*K30</f>
        <v>0</v>
      </c>
      <c r="N30" s="119">
        <f>COUNTIF(U30:AF30,"-")*$K30</f>
        <v>6</v>
      </c>
      <c r="O30" s="119">
        <f t="shared" si="20"/>
        <v>0</v>
      </c>
      <c r="P30" s="119">
        <f t="shared" si="21"/>
        <v>0</v>
      </c>
      <c r="Q30" s="119"/>
      <c r="AC30" s="73" t="s">
        <v>17</v>
      </c>
      <c r="AD30" s="73" t="s">
        <v>17</v>
      </c>
    </row>
    <row r="31" spans="1:32" ht="17.5" customHeight="1" outlineLevel="2" x14ac:dyDescent="0.35">
      <c r="A31" s="71" t="s">
        <v>23</v>
      </c>
      <c r="B31" s="71" t="s">
        <v>263</v>
      </c>
      <c r="C31" s="71" t="s">
        <v>44</v>
      </c>
      <c r="D31" s="71" t="s">
        <v>279</v>
      </c>
      <c r="E31" s="71">
        <f t="shared" si="0"/>
        <v>0</v>
      </c>
      <c r="F31" s="72" t="s">
        <v>248</v>
      </c>
      <c r="G31" s="66">
        <v>0</v>
      </c>
      <c r="H31" s="120">
        <v>0</v>
      </c>
      <c r="I31" s="120"/>
      <c r="J31" s="120"/>
      <c r="K31" s="66">
        <v>0</v>
      </c>
      <c r="L31" s="120">
        <v>0</v>
      </c>
      <c r="M31" s="119">
        <f>COUNTIF(R31:T31,"-")*K31</f>
        <v>0</v>
      </c>
      <c r="N31" s="119">
        <f>COUNTIF(U31:AF31,"-")*$K31</f>
        <v>0</v>
      </c>
      <c r="O31" s="119">
        <f>COUNTIF(AG31:AQ31,"-")*$K31</f>
        <v>0</v>
      </c>
      <c r="P31" s="119"/>
      <c r="Q31" s="119"/>
      <c r="AD31" s="109"/>
    </row>
    <row r="32" spans="1:32" ht="15" customHeight="1" outlineLevel="2" x14ac:dyDescent="0.35">
      <c r="A32" s="71" t="s">
        <v>23</v>
      </c>
      <c r="B32" s="71" t="s">
        <v>244</v>
      </c>
      <c r="C32" s="71" t="s">
        <v>44</v>
      </c>
      <c r="D32" s="71" t="s">
        <v>278</v>
      </c>
      <c r="E32" s="71">
        <f t="shared" si="0"/>
        <v>160</v>
      </c>
      <c r="F32" s="72">
        <f t="shared" ref="F32:F40" si="23">E32/8</f>
        <v>20</v>
      </c>
      <c r="G32" s="66">
        <f t="shared" ref="G32:G40" si="24">COUNTIF(K32:AT32, "-")*H32</f>
        <v>1</v>
      </c>
      <c r="H32" s="120">
        <v>1</v>
      </c>
      <c r="I32" s="168">
        <f t="shared" ref="I32:I40" si="25">E32*54</f>
        <v>8640</v>
      </c>
      <c r="J32" s="135"/>
      <c r="K32" s="66">
        <v>4</v>
      </c>
      <c r="L32" s="120">
        <f>COUNTIF(R32:BA32,"-")</f>
        <v>1</v>
      </c>
      <c r="M32" s="119">
        <f>COUNTIF(R32:T32,"-")*K32</f>
        <v>0</v>
      </c>
      <c r="N32" s="119">
        <f>COUNTIF(U32:AF32,"-")*$K32</f>
        <v>4</v>
      </c>
      <c r="O32" s="119">
        <f t="shared" ref="O32:O40" si="26">COUNTIF(AG32:AR32,"-")*$K32</f>
        <v>0</v>
      </c>
      <c r="P32" s="119">
        <f t="shared" ref="P32:P40" si="27">COUNTIF(AS32:BD32,"-")*$K32</f>
        <v>0</v>
      </c>
      <c r="Q32" s="119"/>
      <c r="AE32" s="70" t="s">
        <v>17</v>
      </c>
    </row>
    <row r="33" spans="1:47" ht="15" customHeight="1" outlineLevel="1" x14ac:dyDescent="0.35">
      <c r="A33" s="71" t="s">
        <v>23</v>
      </c>
      <c r="B33" s="71"/>
      <c r="C33" s="76" t="s">
        <v>44</v>
      </c>
      <c r="D33" s="71" t="s">
        <v>280</v>
      </c>
      <c r="E33" s="77">
        <f t="shared" si="0"/>
        <v>0</v>
      </c>
      <c r="F33" s="75">
        <f t="shared" si="23"/>
        <v>0</v>
      </c>
      <c r="G33" s="133">
        <f t="shared" si="24"/>
        <v>0</v>
      </c>
      <c r="H33" s="133">
        <v>1</v>
      </c>
      <c r="I33" s="111">
        <f t="shared" si="25"/>
        <v>0</v>
      </c>
      <c r="J33" s="134"/>
      <c r="K33" s="133">
        <f t="shared" ref="K33" si="28">SUM(K34:K35)</f>
        <v>4</v>
      </c>
      <c r="L33" s="133">
        <f>SUM(L34:L35)</f>
        <v>2</v>
      </c>
      <c r="M33" s="133">
        <f t="shared" ref="M33:P33" si="29">SUM(M34:M35)</f>
        <v>0</v>
      </c>
      <c r="N33" s="133">
        <f t="shared" si="29"/>
        <v>4</v>
      </c>
      <c r="O33" s="133">
        <f t="shared" si="29"/>
        <v>0</v>
      </c>
      <c r="P33" s="133">
        <f t="shared" si="29"/>
        <v>0</v>
      </c>
      <c r="Q33" s="119"/>
      <c r="AD33" s="67"/>
      <c r="AE33" s="67"/>
    </row>
    <row r="34" spans="1:47" ht="15" customHeight="1" outlineLevel="2" x14ac:dyDescent="0.35">
      <c r="A34" s="71" t="s">
        <v>23</v>
      </c>
      <c r="B34" s="71" t="s">
        <v>371</v>
      </c>
      <c r="C34" s="71" t="s">
        <v>47</v>
      </c>
      <c r="D34" s="71" t="s">
        <v>198</v>
      </c>
      <c r="E34" s="71">
        <f t="shared" si="0"/>
        <v>160</v>
      </c>
      <c r="F34" s="72">
        <f t="shared" si="23"/>
        <v>20</v>
      </c>
      <c r="G34" s="66">
        <f t="shared" si="24"/>
        <v>1</v>
      </c>
      <c r="H34" s="120">
        <v>1</v>
      </c>
      <c r="I34" s="168">
        <f t="shared" si="25"/>
        <v>8640</v>
      </c>
      <c r="J34" s="135"/>
      <c r="K34" s="66">
        <v>3</v>
      </c>
      <c r="L34" s="120">
        <f>COUNTIF(R32:BA32,"-")</f>
        <v>1</v>
      </c>
      <c r="M34" s="119">
        <f>COUNTIF(R34:T34,"-")*K34</f>
        <v>0</v>
      </c>
      <c r="N34" s="119">
        <f>COUNTIF(U34:AF34,"-")*$K34</f>
        <v>3</v>
      </c>
      <c r="O34" s="119">
        <f t="shared" si="26"/>
        <v>0</v>
      </c>
      <c r="P34" s="119">
        <f t="shared" si="27"/>
        <v>0</v>
      </c>
      <c r="Q34" s="119"/>
      <c r="AD34" s="69" t="s">
        <v>17</v>
      </c>
    </row>
    <row r="35" spans="1:47" ht="15" customHeight="1" outlineLevel="2" x14ac:dyDescent="0.35">
      <c r="A35" s="71" t="s">
        <v>23</v>
      </c>
      <c r="B35" s="71" t="s">
        <v>244</v>
      </c>
      <c r="C35" s="71" t="s">
        <v>47</v>
      </c>
      <c r="D35" s="71" t="s">
        <v>459</v>
      </c>
      <c r="E35" s="71">
        <f t="shared" si="0"/>
        <v>160</v>
      </c>
      <c r="F35" s="72">
        <f t="shared" si="23"/>
        <v>20</v>
      </c>
      <c r="G35" s="66">
        <f t="shared" si="24"/>
        <v>1</v>
      </c>
      <c r="H35" s="120">
        <v>1</v>
      </c>
      <c r="I35" s="168">
        <f t="shared" si="25"/>
        <v>8640</v>
      </c>
      <c r="J35" s="135"/>
      <c r="K35" s="66">
        <v>1</v>
      </c>
      <c r="L35" s="120">
        <f>COUNTIF(R32:BA32,"-")</f>
        <v>1</v>
      </c>
      <c r="M35" s="119">
        <f>COUNTIF(R35:T35,"-")*K35</f>
        <v>0</v>
      </c>
      <c r="N35" s="119">
        <f>COUNTIF(U35:AF35,"-")*$K35</f>
        <v>1</v>
      </c>
      <c r="O35" s="119">
        <f t="shared" si="26"/>
        <v>0</v>
      </c>
      <c r="P35" s="119">
        <f t="shared" si="27"/>
        <v>0</v>
      </c>
      <c r="Q35" s="119"/>
      <c r="AE35" s="70" t="s">
        <v>17</v>
      </c>
    </row>
    <row r="36" spans="1:47" ht="15" customHeight="1" x14ac:dyDescent="0.35">
      <c r="A36" s="71" t="s">
        <v>23</v>
      </c>
      <c r="B36" s="71"/>
      <c r="C36" s="71" t="s">
        <v>47</v>
      </c>
      <c r="D36" s="71" t="s">
        <v>227</v>
      </c>
      <c r="E36" s="171">
        <f t="shared" ref="E36:E67" si="30">G36*160</f>
        <v>0</v>
      </c>
      <c r="F36" s="13">
        <f t="shared" si="23"/>
        <v>0</v>
      </c>
      <c r="G36" s="119">
        <f t="shared" si="24"/>
        <v>0</v>
      </c>
      <c r="H36" s="119">
        <v>1</v>
      </c>
      <c r="I36" s="111">
        <f t="shared" si="25"/>
        <v>0</v>
      </c>
      <c r="J36" s="170" t="s">
        <v>469</v>
      </c>
      <c r="K36" s="119">
        <f>SUM(K37:K42)</f>
        <v>14</v>
      </c>
      <c r="L36" s="119">
        <f>SUM(L37:L42)</f>
        <v>14</v>
      </c>
      <c r="M36" s="119">
        <f>SUM(M37:M42)</f>
        <v>7</v>
      </c>
      <c r="N36" s="119">
        <f t="shared" ref="N36:P36" si="31">SUM(N37:N42)</f>
        <v>21</v>
      </c>
      <c r="O36" s="119">
        <f t="shared" si="31"/>
        <v>12</v>
      </c>
      <c r="P36" s="119">
        <f t="shared" si="31"/>
        <v>0</v>
      </c>
      <c r="Q36" s="119"/>
      <c r="R36" s="67"/>
      <c r="S36" s="67"/>
      <c r="T36" s="67"/>
      <c r="U36" s="67"/>
      <c r="V36" s="67"/>
      <c r="W36" s="67"/>
      <c r="X36" s="67"/>
      <c r="Y36" s="67"/>
      <c r="Z36" s="67"/>
      <c r="AA36" s="67"/>
      <c r="AB36" s="67"/>
      <c r="AC36" s="67"/>
      <c r="AD36" s="67"/>
      <c r="AE36" s="67"/>
    </row>
    <row r="37" spans="1:47" ht="15" customHeight="1" outlineLevel="1" x14ac:dyDescent="0.35">
      <c r="A37" s="71" t="s">
        <v>23</v>
      </c>
      <c r="B37" s="71" t="s">
        <v>378</v>
      </c>
      <c r="C37" s="71" t="s">
        <v>47</v>
      </c>
      <c r="D37" s="71" t="s">
        <v>279</v>
      </c>
      <c r="E37" s="71">
        <f t="shared" si="30"/>
        <v>320</v>
      </c>
      <c r="F37" s="71">
        <f t="shared" si="23"/>
        <v>40</v>
      </c>
      <c r="G37" s="66">
        <f t="shared" si="24"/>
        <v>2</v>
      </c>
      <c r="H37" s="120">
        <v>1</v>
      </c>
      <c r="I37" s="168">
        <f t="shared" si="25"/>
        <v>17280</v>
      </c>
      <c r="J37" s="135"/>
      <c r="K37" s="66">
        <v>2</v>
      </c>
      <c r="L37" s="121">
        <f>COUNTIF(R37:BA37,"-")</f>
        <v>2</v>
      </c>
      <c r="M37" s="119">
        <f t="shared" ref="M37:M42" si="32">COUNTIF(R37:T37,"-")*K37</f>
        <v>4</v>
      </c>
      <c r="N37" s="119">
        <f t="shared" ref="N37:N42" si="33">COUNTIF(U37:AF37,"-")*$K37</f>
        <v>0</v>
      </c>
      <c r="O37" s="119">
        <f t="shared" si="26"/>
        <v>0</v>
      </c>
      <c r="P37" s="119">
        <f t="shared" si="27"/>
        <v>0</v>
      </c>
      <c r="Q37" s="119"/>
      <c r="R37" s="68" t="s">
        <v>17</v>
      </c>
      <c r="S37" s="68" t="s">
        <v>17</v>
      </c>
    </row>
    <row r="38" spans="1:47" outlineLevel="1" x14ac:dyDescent="0.35">
      <c r="A38" s="71" t="s">
        <v>23</v>
      </c>
      <c r="B38" s="71" t="s">
        <v>399</v>
      </c>
      <c r="C38" s="71" t="s">
        <v>47</v>
      </c>
      <c r="D38" s="71" t="s">
        <v>278</v>
      </c>
      <c r="E38" s="71">
        <f t="shared" si="30"/>
        <v>800</v>
      </c>
      <c r="F38" s="71">
        <f t="shared" si="23"/>
        <v>100</v>
      </c>
      <c r="G38" s="66">
        <f t="shared" si="24"/>
        <v>5</v>
      </c>
      <c r="H38" s="121">
        <v>1</v>
      </c>
      <c r="I38" s="137">
        <f t="shared" si="25"/>
        <v>43200</v>
      </c>
      <c r="J38" s="136"/>
      <c r="K38" s="66">
        <v>3</v>
      </c>
      <c r="L38" s="121">
        <f>COUNTIF(R38:BA38,"-")</f>
        <v>5</v>
      </c>
      <c r="M38" s="119">
        <f t="shared" si="32"/>
        <v>3</v>
      </c>
      <c r="N38" s="119">
        <f t="shared" si="33"/>
        <v>12</v>
      </c>
      <c r="O38" s="119">
        <f t="shared" si="26"/>
        <v>0</v>
      </c>
      <c r="P38" s="119">
        <f t="shared" si="27"/>
        <v>0</v>
      </c>
      <c r="Q38" s="119"/>
      <c r="T38" s="73" t="s">
        <v>17</v>
      </c>
      <c r="U38" s="73" t="s">
        <v>17</v>
      </c>
      <c r="V38" s="73" t="s">
        <v>17</v>
      </c>
      <c r="W38" s="73" t="s">
        <v>17</v>
      </c>
      <c r="X38" s="73" t="s">
        <v>17</v>
      </c>
    </row>
    <row r="39" spans="1:47" outlineLevel="1" x14ac:dyDescent="0.35">
      <c r="A39" s="71" t="s">
        <v>23</v>
      </c>
      <c r="B39" s="71" t="s">
        <v>366</v>
      </c>
      <c r="C39" s="71" t="s">
        <v>47</v>
      </c>
      <c r="D39" s="71" t="s">
        <v>280</v>
      </c>
      <c r="E39" s="71">
        <f t="shared" si="30"/>
        <v>480</v>
      </c>
      <c r="F39" s="71">
        <f t="shared" si="23"/>
        <v>60</v>
      </c>
      <c r="G39" s="66">
        <f t="shared" si="24"/>
        <v>3</v>
      </c>
      <c r="H39" s="121">
        <v>1</v>
      </c>
      <c r="I39" s="137">
        <f t="shared" si="25"/>
        <v>25920</v>
      </c>
      <c r="J39" s="136"/>
      <c r="K39" s="66">
        <v>2</v>
      </c>
      <c r="L39" s="121">
        <f>COUNTIF(R39:BA39,"-")</f>
        <v>3</v>
      </c>
      <c r="M39" s="119">
        <f t="shared" si="32"/>
        <v>0</v>
      </c>
      <c r="N39" s="119">
        <f t="shared" si="33"/>
        <v>6</v>
      </c>
      <c r="O39" s="119">
        <f t="shared" si="26"/>
        <v>0</v>
      </c>
      <c r="P39" s="119">
        <f t="shared" si="27"/>
        <v>0</v>
      </c>
      <c r="Q39" s="119"/>
      <c r="Y39" s="69" t="s">
        <v>17</v>
      </c>
      <c r="Z39" s="69" t="s">
        <v>17</v>
      </c>
      <c r="AA39" s="69" t="s">
        <v>17</v>
      </c>
    </row>
    <row r="40" spans="1:47" outlineLevel="1" x14ac:dyDescent="0.35">
      <c r="A40" s="71" t="s">
        <v>23</v>
      </c>
      <c r="B40" s="71" t="s">
        <v>361</v>
      </c>
      <c r="C40" s="71" t="s">
        <v>49</v>
      </c>
      <c r="D40" s="71" t="s">
        <v>198</v>
      </c>
      <c r="E40" s="71">
        <f t="shared" si="30"/>
        <v>160</v>
      </c>
      <c r="F40" s="71">
        <f t="shared" si="23"/>
        <v>20</v>
      </c>
      <c r="G40" s="66">
        <f t="shared" si="24"/>
        <v>1</v>
      </c>
      <c r="H40" s="121">
        <v>1</v>
      </c>
      <c r="I40" s="137">
        <f t="shared" si="25"/>
        <v>8640</v>
      </c>
      <c r="J40" s="136"/>
      <c r="K40" s="66">
        <v>3</v>
      </c>
      <c r="L40" s="121">
        <f>COUNTIF(R40:BA40,"-")</f>
        <v>1</v>
      </c>
      <c r="M40" s="119">
        <f t="shared" si="32"/>
        <v>0</v>
      </c>
      <c r="N40" s="119">
        <f t="shared" si="33"/>
        <v>3</v>
      </c>
      <c r="O40" s="119">
        <f t="shared" si="26"/>
        <v>0</v>
      </c>
      <c r="P40" s="119">
        <f t="shared" si="27"/>
        <v>0</v>
      </c>
      <c r="Q40" s="119"/>
      <c r="AF40" s="69" t="s">
        <v>17</v>
      </c>
    </row>
    <row r="41" spans="1:47" outlineLevel="1" x14ac:dyDescent="0.35">
      <c r="A41" t="s">
        <v>23</v>
      </c>
      <c r="B41" s="71" t="s">
        <v>263</v>
      </c>
      <c r="C41" s="71" t="s">
        <v>49</v>
      </c>
      <c r="D41" s="71" t="s">
        <v>459</v>
      </c>
      <c r="E41" s="71">
        <f t="shared" si="30"/>
        <v>0</v>
      </c>
      <c r="F41" s="71" t="s">
        <v>248</v>
      </c>
      <c r="G41" s="66">
        <v>0</v>
      </c>
      <c r="H41" s="121">
        <v>0</v>
      </c>
      <c r="K41" s="66">
        <v>0</v>
      </c>
      <c r="L41" s="121">
        <v>0</v>
      </c>
      <c r="M41" s="119">
        <f t="shared" si="32"/>
        <v>0</v>
      </c>
      <c r="N41" s="119">
        <f t="shared" si="33"/>
        <v>0</v>
      </c>
      <c r="O41" s="119">
        <f t="shared" ref="O41" si="34">COUNTIF(AG41:AQ41,"-")*$K41</f>
        <v>0</v>
      </c>
      <c r="P41" s="119"/>
      <c r="Q41" s="119"/>
      <c r="AB41" s="110"/>
    </row>
    <row r="42" spans="1:47" outlineLevel="1" x14ac:dyDescent="0.35">
      <c r="A42" s="71" t="s">
        <v>23</v>
      </c>
      <c r="B42" s="71" t="s">
        <v>244</v>
      </c>
      <c r="C42" s="71" t="s">
        <v>49</v>
      </c>
      <c r="D42" s="71" t="s">
        <v>227</v>
      </c>
      <c r="E42" s="71">
        <f t="shared" si="30"/>
        <v>480</v>
      </c>
      <c r="F42" s="71">
        <f t="shared" ref="F42:F48" si="35">E42/8</f>
        <v>60</v>
      </c>
      <c r="G42" s="66">
        <f t="shared" ref="G42:G48" si="36">COUNTIF(K42:AT42, "-")*H42</f>
        <v>3</v>
      </c>
      <c r="H42" s="121">
        <v>1</v>
      </c>
      <c r="I42" s="137">
        <f t="shared" ref="I42:I48" si="37">E42*54</f>
        <v>25920</v>
      </c>
      <c r="J42" s="136"/>
      <c r="K42" s="66">
        <v>4</v>
      </c>
      <c r="L42" s="121">
        <f>COUNTIF(R42:BA42,"-")</f>
        <v>3</v>
      </c>
      <c r="M42" s="119">
        <f t="shared" si="32"/>
        <v>0</v>
      </c>
      <c r="N42" s="119">
        <f t="shared" si="33"/>
        <v>0</v>
      </c>
      <c r="O42" s="119">
        <f t="shared" ref="O42:O48" si="38">COUNTIF(AG42:AR42,"-")*$K42</f>
        <v>12</v>
      </c>
      <c r="P42" s="119">
        <f t="shared" ref="P42:P48" si="39">COUNTIF(AS42:BD42,"-")*$K42</f>
        <v>0</v>
      </c>
      <c r="Q42" s="119"/>
      <c r="AG42" s="70" t="s">
        <v>17</v>
      </c>
      <c r="AH42" s="70" t="s">
        <v>17</v>
      </c>
      <c r="AI42" s="70" t="s">
        <v>17</v>
      </c>
    </row>
    <row r="43" spans="1:47" ht="14.5" customHeight="1" outlineLevel="1" x14ac:dyDescent="0.35">
      <c r="A43" s="71" t="s">
        <v>23</v>
      </c>
      <c r="B43" s="71"/>
      <c r="C43" s="71" t="s">
        <v>49</v>
      </c>
      <c r="D43" s="71" t="s">
        <v>279</v>
      </c>
      <c r="E43" s="71">
        <f t="shared" si="30"/>
        <v>0</v>
      </c>
      <c r="F43" s="13">
        <f t="shared" si="35"/>
        <v>0</v>
      </c>
      <c r="G43" s="172">
        <f t="shared" si="36"/>
        <v>0</v>
      </c>
      <c r="H43" s="119">
        <v>1</v>
      </c>
      <c r="I43" s="111">
        <f t="shared" si="37"/>
        <v>0</v>
      </c>
      <c r="J43" s="136"/>
      <c r="K43" s="66">
        <f t="shared" ref="K43" si="40">SUM(K44:K45)</f>
        <v>4.5</v>
      </c>
      <c r="L43" s="121">
        <f>SUM(L44:Q45)</f>
        <v>39</v>
      </c>
      <c r="M43" s="121">
        <f>SUM(M44:M45)</f>
        <v>0</v>
      </c>
      <c r="N43" s="121">
        <f>SUM(N44:N45)</f>
        <v>0</v>
      </c>
      <c r="O43" s="121">
        <f>SUM(O44:O45)</f>
        <v>13.5</v>
      </c>
      <c r="P43" s="121">
        <f t="shared" ref="P43" si="41">SUM(P44:U45)</f>
        <v>13.5</v>
      </c>
      <c r="Q43" s="119"/>
      <c r="AP43" s="67"/>
      <c r="AQ43" s="67"/>
      <c r="AR43" s="67"/>
      <c r="AS43" s="67"/>
      <c r="AT43" s="67"/>
      <c r="AU43" s="67"/>
    </row>
    <row r="44" spans="1:47" ht="15" customHeight="1" outlineLevel="1" x14ac:dyDescent="0.35">
      <c r="A44" s="71" t="s">
        <v>23</v>
      </c>
      <c r="B44" s="71" t="s">
        <v>386</v>
      </c>
      <c r="C44" s="71" t="s">
        <v>49</v>
      </c>
      <c r="D44" s="71" t="s">
        <v>278</v>
      </c>
      <c r="E44" s="71">
        <f t="shared" si="30"/>
        <v>800</v>
      </c>
      <c r="F44" s="71">
        <f t="shared" si="35"/>
        <v>100</v>
      </c>
      <c r="G44" s="66">
        <f t="shared" si="36"/>
        <v>5</v>
      </c>
      <c r="H44" s="121">
        <v>1</v>
      </c>
      <c r="I44" s="137">
        <f t="shared" si="37"/>
        <v>43200</v>
      </c>
      <c r="J44" s="136"/>
      <c r="K44" s="66">
        <v>2</v>
      </c>
      <c r="L44" s="121">
        <f>COUNTIF(R44:BA44,"-")</f>
        <v>6</v>
      </c>
      <c r="M44" s="119">
        <f t="shared" ref="M44:M45" si="42">COUNTIF(R44:T44,"-")*K44</f>
        <v>0</v>
      </c>
      <c r="N44" s="119">
        <f t="shared" ref="N44:N45" si="43">COUNTIF(U44:AF44,"-")*$K44</f>
        <v>0</v>
      </c>
      <c r="O44" s="119">
        <f t="shared" si="38"/>
        <v>6</v>
      </c>
      <c r="P44" s="119">
        <f t="shared" si="39"/>
        <v>6</v>
      </c>
      <c r="Q44" s="119"/>
      <c r="AP44" s="69" t="s">
        <v>17</v>
      </c>
      <c r="AQ44" s="69" t="s">
        <v>17</v>
      </c>
      <c r="AR44" s="69" t="s">
        <v>17</v>
      </c>
      <c r="AS44" s="69" t="s">
        <v>17</v>
      </c>
      <c r="AT44" s="69" t="s">
        <v>17</v>
      </c>
      <c r="AU44" s="69" t="s">
        <v>17</v>
      </c>
    </row>
    <row r="45" spans="1:47" ht="15.5" customHeight="1" outlineLevel="1" x14ac:dyDescent="0.35">
      <c r="A45" s="71" t="s">
        <v>23</v>
      </c>
      <c r="B45" s="71" t="s">
        <v>470</v>
      </c>
      <c r="C45" s="71" t="s">
        <v>49</v>
      </c>
      <c r="D45" s="71" t="s">
        <v>280</v>
      </c>
      <c r="E45" s="71">
        <f t="shared" si="30"/>
        <v>800</v>
      </c>
      <c r="F45" s="71">
        <f t="shared" si="35"/>
        <v>100</v>
      </c>
      <c r="G45" s="66">
        <f t="shared" si="36"/>
        <v>5</v>
      </c>
      <c r="H45" s="121">
        <v>1</v>
      </c>
      <c r="I45" s="137">
        <f t="shared" si="37"/>
        <v>43200</v>
      </c>
      <c r="J45" s="136"/>
      <c r="K45" s="66">
        <v>2.5</v>
      </c>
      <c r="L45" s="121">
        <f>COUNTIF(R45:BA45,"-")</f>
        <v>6</v>
      </c>
      <c r="M45" s="119">
        <f t="shared" si="42"/>
        <v>0</v>
      </c>
      <c r="N45" s="119">
        <f t="shared" si="43"/>
        <v>0</v>
      </c>
      <c r="O45" s="119">
        <f t="shared" si="38"/>
        <v>7.5</v>
      </c>
      <c r="P45" s="119">
        <f t="shared" si="39"/>
        <v>7.5</v>
      </c>
      <c r="Q45" s="119"/>
      <c r="AP45" s="73" t="s">
        <v>17</v>
      </c>
      <c r="AQ45" s="73" t="s">
        <v>17</v>
      </c>
      <c r="AR45" s="73" t="s">
        <v>17</v>
      </c>
      <c r="AS45" s="73" t="s">
        <v>17</v>
      </c>
      <c r="AT45" s="73" t="s">
        <v>17</v>
      </c>
      <c r="AU45" s="73" t="s">
        <v>17</v>
      </c>
    </row>
    <row r="46" spans="1:47" x14ac:dyDescent="0.35">
      <c r="A46" t="s">
        <v>12</v>
      </c>
      <c r="C46" t="s">
        <v>308</v>
      </c>
      <c r="D46" t="s">
        <v>198</v>
      </c>
      <c r="E46" s="77">
        <f t="shared" si="30"/>
        <v>0</v>
      </c>
      <c r="F46" s="13">
        <f t="shared" si="35"/>
        <v>0</v>
      </c>
      <c r="G46" s="119">
        <f t="shared" si="36"/>
        <v>0</v>
      </c>
      <c r="H46" s="119">
        <v>1</v>
      </c>
      <c r="I46" s="111">
        <f t="shared" si="37"/>
        <v>0</v>
      </c>
      <c r="J46" s="169" t="s">
        <v>471</v>
      </c>
      <c r="K46" s="119">
        <f>SUM(K47:K50)</f>
        <v>9</v>
      </c>
      <c r="L46" s="119">
        <f>SUM(L47:L50)</f>
        <v>10</v>
      </c>
      <c r="M46" s="119">
        <f t="shared" ref="M46:P46" si="44">SUM(M47:M50)</f>
        <v>2</v>
      </c>
      <c r="N46" s="119">
        <f t="shared" si="44"/>
        <v>21</v>
      </c>
      <c r="O46" s="119">
        <f t="shared" si="44"/>
        <v>8</v>
      </c>
      <c r="P46" s="119">
        <f t="shared" si="44"/>
        <v>0</v>
      </c>
      <c r="Q46" s="119"/>
      <c r="T46" s="67"/>
      <c r="U46" s="67"/>
      <c r="V46" s="67"/>
      <c r="W46" s="67"/>
      <c r="X46" s="67"/>
      <c r="Y46" s="67"/>
      <c r="Z46" s="67"/>
      <c r="AA46" s="67"/>
      <c r="AB46" s="67"/>
      <c r="AC46" s="67"/>
      <c r="AD46" s="67"/>
      <c r="AE46" s="67"/>
      <c r="AF46" s="67"/>
      <c r="AG46" s="67"/>
    </row>
    <row r="47" spans="1:47" ht="15" customHeight="1" outlineLevel="1" x14ac:dyDescent="0.35">
      <c r="A47" t="s">
        <v>12</v>
      </c>
      <c r="B47" s="131" t="s">
        <v>378</v>
      </c>
      <c r="C47" t="s">
        <v>308</v>
      </c>
      <c r="D47" t="s">
        <v>459</v>
      </c>
      <c r="E47">
        <f t="shared" si="30"/>
        <v>320</v>
      </c>
      <c r="F47" s="65">
        <f t="shared" si="35"/>
        <v>40</v>
      </c>
      <c r="G47" s="66">
        <f t="shared" si="36"/>
        <v>2</v>
      </c>
      <c r="H47" s="121">
        <v>1</v>
      </c>
      <c r="I47" s="137">
        <f t="shared" si="37"/>
        <v>17280</v>
      </c>
      <c r="J47" s="136"/>
      <c r="K47" s="66">
        <v>2</v>
      </c>
      <c r="L47" s="121">
        <f>COUNTIF(R47:BA47,"-")</f>
        <v>2</v>
      </c>
      <c r="M47" s="119">
        <f>COUNTIF(R47:T47,"-")*K47</f>
        <v>2</v>
      </c>
      <c r="N47" s="119">
        <f>COUNTIF(U47:AF47,"-")*$K47</f>
        <v>2</v>
      </c>
      <c r="O47" s="119">
        <f t="shared" si="38"/>
        <v>0</v>
      </c>
      <c r="P47" s="119">
        <f t="shared" si="39"/>
        <v>0</v>
      </c>
      <c r="Q47" s="119"/>
      <c r="T47" s="68" t="s">
        <v>17</v>
      </c>
      <c r="U47" s="68" t="s">
        <v>17</v>
      </c>
    </row>
    <row r="48" spans="1:47" ht="15" customHeight="1" outlineLevel="1" x14ac:dyDescent="0.35">
      <c r="A48" t="s">
        <v>12</v>
      </c>
      <c r="B48" s="131" t="s">
        <v>399</v>
      </c>
      <c r="C48" t="s">
        <v>308</v>
      </c>
      <c r="D48" t="s">
        <v>227</v>
      </c>
      <c r="E48">
        <f t="shared" si="30"/>
        <v>800</v>
      </c>
      <c r="F48" s="74">
        <f t="shared" si="35"/>
        <v>100</v>
      </c>
      <c r="G48" s="66">
        <f t="shared" si="36"/>
        <v>5</v>
      </c>
      <c r="H48" s="121">
        <v>1</v>
      </c>
      <c r="I48" s="137">
        <f t="shared" si="37"/>
        <v>43200</v>
      </c>
      <c r="J48" s="136"/>
      <c r="K48" s="66">
        <v>3</v>
      </c>
      <c r="L48" s="121">
        <f>COUNTIF(R48:BA48,"-")</f>
        <v>5</v>
      </c>
      <c r="M48" s="119">
        <f>COUNTIF(R48:T48,"-")*K48</f>
        <v>0</v>
      </c>
      <c r="N48" s="119">
        <f>COUNTIF(U48:AF48,"-")*$K48</f>
        <v>15</v>
      </c>
      <c r="O48" s="119">
        <f t="shared" si="38"/>
        <v>0</v>
      </c>
      <c r="P48" s="119">
        <f t="shared" si="39"/>
        <v>0</v>
      </c>
      <c r="Q48" s="119"/>
      <c r="Y48" s="73" t="s">
        <v>17</v>
      </c>
      <c r="Z48" s="73" t="s">
        <v>17</v>
      </c>
      <c r="AA48" s="73" t="s">
        <v>17</v>
      </c>
      <c r="AB48" s="73" t="s">
        <v>17</v>
      </c>
      <c r="AC48" s="73" t="s">
        <v>17</v>
      </c>
    </row>
    <row r="49" spans="1:34" ht="15" customHeight="1" outlineLevel="1" x14ac:dyDescent="0.35">
      <c r="A49" t="s">
        <v>12</v>
      </c>
      <c r="B49" t="s">
        <v>263</v>
      </c>
      <c r="C49" t="s">
        <v>308</v>
      </c>
      <c r="D49" t="s">
        <v>279</v>
      </c>
      <c r="E49">
        <f t="shared" si="30"/>
        <v>0</v>
      </c>
      <c r="F49" s="74" t="s">
        <v>265</v>
      </c>
      <c r="G49" s="66">
        <v>0</v>
      </c>
      <c r="H49" s="121">
        <v>0</v>
      </c>
      <c r="K49" s="66">
        <v>0</v>
      </c>
      <c r="L49" s="121">
        <v>0</v>
      </c>
      <c r="M49" s="119">
        <f>COUNTIF(R49:T49,"-")*K49</f>
        <v>0</v>
      </c>
      <c r="N49" s="119">
        <f>COUNTIF(U49:AF49,"-")*$K49</f>
        <v>0</v>
      </c>
      <c r="O49" s="119">
        <f>COUNTIF(AG49:AQ49,"-")*$K49</f>
        <v>0</v>
      </c>
      <c r="P49" s="119"/>
      <c r="Q49" s="119"/>
      <c r="AE49" s="110"/>
    </row>
    <row r="50" spans="1:34" ht="15" customHeight="1" outlineLevel="1" x14ac:dyDescent="0.35">
      <c r="A50" t="s">
        <v>12</v>
      </c>
      <c r="B50" t="s">
        <v>244</v>
      </c>
      <c r="C50" t="s">
        <v>308</v>
      </c>
      <c r="D50" t="s">
        <v>278</v>
      </c>
      <c r="E50">
        <f t="shared" si="30"/>
        <v>480</v>
      </c>
      <c r="F50" s="65">
        <f>E50/8</f>
        <v>60</v>
      </c>
      <c r="G50" s="66">
        <f>COUNTIF(K50:AT50, "-")*H50</f>
        <v>3</v>
      </c>
      <c r="H50" s="121">
        <v>1</v>
      </c>
      <c r="I50" s="137">
        <f>E50*54</f>
        <v>25920</v>
      </c>
      <c r="J50" s="136"/>
      <c r="K50" s="66">
        <v>4</v>
      </c>
      <c r="L50" s="121">
        <f>COUNTIF(R50:BA50,"-")</f>
        <v>3</v>
      </c>
      <c r="M50" s="119">
        <f>COUNTIF(R50:T50,"-")*K50</f>
        <v>0</v>
      </c>
      <c r="N50" s="119">
        <f>COUNTIF(U50:AF50,"-")*$K50</f>
        <v>4</v>
      </c>
      <c r="O50" s="119">
        <f>COUNTIF(AG50:AR50,"-")*$K50</f>
        <v>8</v>
      </c>
      <c r="P50" s="119">
        <f>COUNTIF(AS50:BD50,"-")*$K50</f>
        <v>0</v>
      </c>
      <c r="Q50" s="119"/>
      <c r="AF50" s="70" t="s">
        <v>17</v>
      </c>
      <c r="AG50" s="70" t="s">
        <v>17</v>
      </c>
      <c r="AH50" s="70" t="s">
        <v>17</v>
      </c>
    </row>
    <row r="51" spans="1:34" x14ac:dyDescent="0.35">
      <c r="A51" t="s">
        <v>12</v>
      </c>
      <c r="C51" t="s">
        <v>308</v>
      </c>
      <c r="D51" t="s">
        <v>280</v>
      </c>
      <c r="E51" s="77">
        <f t="shared" si="30"/>
        <v>0</v>
      </c>
      <c r="F51" s="173" t="s">
        <v>76</v>
      </c>
      <c r="G51" s="119">
        <f>SUM(G52:G56)</f>
        <v>0</v>
      </c>
      <c r="H51" s="119">
        <f>SUM(H52:H56)</f>
        <v>0</v>
      </c>
      <c r="I51" s="134">
        <f>54*G51</f>
        <v>0</v>
      </c>
      <c r="J51" s="169" t="s">
        <v>471</v>
      </c>
      <c r="K51" s="119">
        <f>SUM(K52:K56)</f>
        <v>11</v>
      </c>
      <c r="L51" s="119">
        <f>SUM(L52:L56)</f>
        <v>0</v>
      </c>
      <c r="M51" s="119">
        <f t="shared" ref="M51:O51" si="45">SUM(M52:M56)</f>
        <v>0</v>
      </c>
      <c r="N51" s="119">
        <f t="shared" si="45"/>
        <v>0</v>
      </c>
      <c r="O51" s="119">
        <f t="shared" si="45"/>
        <v>0</v>
      </c>
      <c r="P51" s="119"/>
      <c r="Q51" s="119"/>
    </row>
    <row r="52" spans="1:34" ht="15" customHeight="1" outlineLevel="1" x14ac:dyDescent="0.35">
      <c r="A52" t="s">
        <v>12</v>
      </c>
      <c r="B52" t="s">
        <v>367</v>
      </c>
      <c r="C52" s="44" t="s">
        <v>295</v>
      </c>
      <c r="D52" t="s">
        <v>198</v>
      </c>
      <c r="E52">
        <f t="shared" si="30"/>
        <v>0</v>
      </c>
      <c r="F52" s="65" t="s">
        <v>207</v>
      </c>
      <c r="G52" s="66">
        <f>H52*8</f>
        <v>0</v>
      </c>
      <c r="H52" s="121">
        <f t="shared" ref="H52:H91" si="46">K52*L52*22</f>
        <v>0</v>
      </c>
      <c r="I52" s="136"/>
      <c r="J52" s="136"/>
      <c r="K52" s="66">
        <v>1</v>
      </c>
      <c r="L52" s="121">
        <f>COUNTIF(R52:BA52,"-")</f>
        <v>0</v>
      </c>
      <c r="M52" s="119">
        <f>COUNTIF(R52:T52,"-")*K52</f>
        <v>0</v>
      </c>
      <c r="N52" s="119">
        <f>COUNTIF(U52:AF52,"-")*$K52</f>
        <v>0</v>
      </c>
      <c r="O52" s="119">
        <f>COUNTIF(AG52:AQ52,"-")*$K52</f>
        <v>0</v>
      </c>
      <c r="P52" s="119"/>
      <c r="Q52" s="119"/>
    </row>
    <row r="53" spans="1:34" ht="15" customHeight="1" outlineLevel="1" x14ac:dyDescent="0.35">
      <c r="A53" t="s">
        <v>12</v>
      </c>
      <c r="B53" s="131" t="s">
        <v>399</v>
      </c>
      <c r="C53" s="44" t="s">
        <v>295</v>
      </c>
      <c r="D53" t="s">
        <v>459</v>
      </c>
      <c r="E53">
        <f t="shared" si="30"/>
        <v>0</v>
      </c>
      <c r="F53" s="65" t="s">
        <v>227</v>
      </c>
      <c r="G53" s="66">
        <f t="shared" ref="G53:G56" si="47">H53*8</f>
        <v>0</v>
      </c>
      <c r="H53" s="121">
        <f t="shared" si="46"/>
        <v>0</v>
      </c>
      <c r="I53" s="136"/>
      <c r="J53" s="136"/>
      <c r="K53" s="66">
        <v>3</v>
      </c>
      <c r="L53" s="121">
        <f>COUNTIF(R53:BA53,"-")</f>
        <v>0</v>
      </c>
      <c r="M53" s="119">
        <f>COUNTIF(R53:T53,"-")*K53</f>
        <v>0</v>
      </c>
      <c r="N53" s="119">
        <f>COUNTIF(U53:AF53,"-")*$K53</f>
        <v>0</v>
      </c>
      <c r="O53" s="119">
        <f>COUNTIF(AG53:AQ53,"-")*$K53</f>
        <v>0</v>
      </c>
      <c r="P53" s="119"/>
      <c r="Q53" s="119"/>
    </row>
    <row r="54" spans="1:34" ht="15" customHeight="1" outlineLevel="1" x14ac:dyDescent="0.35">
      <c r="A54" t="s">
        <v>12</v>
      </c>
      <c r="B54" t="s">
        <v>368</v>
      </c>
      <c r="C54" s="44" t="s">
        <v>295</v>
      </c>
      <c r="D54" t="s">
        <v>227</v>
      </c>
      <c r="E54">
        <f t="shared" si="30"/>
        <v>0</v>
      </c>
      <c r="F54" s="65" t="s">
        <v>229</v>
      </c>
      <c r="G54" s="66">
        <f t="shared" si="47"/>
        <v>0</v>
      </c>
      <c r="H54" s="121">
        <f t="shared" si="46"/>
        <v>0</v>
      </c>
      <c r="I54" s="136"/>
      <c r="J54" s="136"/>
      <c r="K54" s="66">
        <v>3</v>
      </c>
      <c r="L54" s="121">
        <f>COUNTIF(R54:BA54,"-")</f>
        <v>0</v>
      </c>
      <c r="M54" s="119">
        <f>COUNTIF(R54:T54,"-")*K54</f>
        <v>0</v>
      </c>
      <c r="N54" s="119">
        <f>COUNTIF(U54:AF54,"-")*$K54</f>
        <v>0</v>
      </c>
      <c r="O54" s="119">
        <f>COUNTIF(AG54:AQ54,"-")*$K54</f>
        <v>0</v>
      </c>
      <c r="P54" s="119"/>
      <c r="Q54" s="119"/>
    </row>
    <row r="55" spans="1:34" ht="15" customHeight="1" outlineLevel="1" x14ac:dyDescent="0.35">
      <c r="A55" t="s">
        <v>12</v>
      </c>
      <c r="B55" t="s">
        <v>263</v>
      </c>
      <c r="C55" s="44" t="s">
        <v>295</v>
      </c>
      <c r="D55" t="s">
        <v>279</v>
      </c>
      <c r="E55">
        <f t="shared" si="30"/>
        <v>0</v>
      </c>
      <c r="F55" s="65" t="s">
        <v>248</v>
      </c>
      <c r="G55" s="66">
        <v>0</v>
      </c>
      <c r="H55" s="121">
        <v>0</v>
      </c>
      <c r="K55" s="66">
        <v>0</v>
      </c>
      <c r="L55" s="121">
        <v>0</v>
      </c>
      <c r="M55" s="119">
        <f>COUNTIF(R55:T55,"-")*K55</f>
        <v>0</v>
      </c>
      <c r="N55" s="119">
        <f>COUNTIF(U55:AF55,"-")*$K55</f>
        <v>0</v>
      </c>
      <c r="O55" s="119">
        <f>COUNTIF(AG55:AQ55,"-")*$K55</f>
        <v>0</v>
      </c>
      <c r="P55" s="119"/>
      <c r="Q55" s="119"/>
    </row>
    <row r="56" spans="1:34" ht="15" customHeight="1" outlineLevel="1" x14ac:dyDescent="0.35">
      <c r="A56" t="s">
        <v>12</v>
      </c>
      <c r="B56" t="s">
        <v>244</v>
      </c>
      <c r="C56" s="44" t="s">
        <v>295</v>
      </c>
      <c r="D56" t="s">
        <v>278</v>
      </c>
      <c r="E56">
        <f t="shared" si="30"/>
        <v>0</v>
      </c>
      <c r="F56" s="65" t="s">
        <v>204</v>
      </c>
      <c r="G56" s="66">
        <f t="shared" si="47"/>
        <v>0</v>
      </c>
      <c r="H56" s="121">
        <f t="shared" si="46"/>
        <v>0</v>
      </c>
      <c r="I56" s="136"/>
      <c r="J56" s="136"/>
      <c r="K56" s="66">
        <v>4</v>
      </c>
      <c r="L56" s="121">
        <f>COUNTIF(R56:BA56,"-")</f>
        <v>0</v>
      </c>
      <c r="M56" s="119">
        <f>COUNTIF(R56:T56,"-")*K56</f>
        <v>0</v>
      </c>
      <c r="N56" s="119">
        <f>COUNTIF(U56:AF56,"-")*$K56</f>
        <v>0</v>
      </c>
      <c r="O56" s="119">
        <f>COUNTIF(AG56:AQ56,"-")*$K56</f>
        <v>0</v>
      </c>
      <c r="P56" s="119"/>
      <c r="Q56" s="119"/>
    </row>
    <row r="57" spans="1:34" ht="58" x14ac:dyDescent="0.35">
      <c r="A57" t="s">
        <v>12</v>
      </c>
      <c r="C57" s="44" t="s">
        <v>295</v>
      </c>
      <c r="D57" t="s">
        <v>280</v>
      </c>
      <c r="E57" s="77">
        <f t="shared" si="30"/>
        <v>0</v>
      </c>
      <c r="F57" s="173" t="s">
        <v>194</v>
      </c>
      <c r="G57" s="12">
        <f>SUM(G58:G61)</f>
        <v>0</v>
      </c>
      <c r="H57" s="12">
        <f>SUM(H58:H61)</f>
        <v>0</v>
      </c>
      <c r="I57" s="134">
        <f>54*G57</f>
        <v>0</v>
      </c>
      <c r="J57" s="169" t="s">
        <v>471</v>
      </c>
      <c r="K57" s="12">
        <f>SUM(K58:K61)</f>
        <v>8</v>
      </c>
      <c r="L57" s="12">
        <f>SUM(L58:L61)</f>
        <v>0</v>
      </c>
      <c r="M57" s="12">
        <f t="shared" ref="M57:O57" si="48">SUM(M58:M61)</f>
        <v>0</v>
      </c>
      <c r="N57" s="12">
        <f t="shared" si="48"/>
        <v>0</v>
      </c>
      <c r="O57" s="12">
        <f t="shared" si="48"/>
        <v>0</v>
      </c>
      <c r="P57" s="12"/>
      <c r="Q57" s="12"/>
    </row>
    <row r="58" spans="1:34" ht="15" customHeight="1" outlineLevel="1" x14ac:dyDescent="0.35">
      <c r="A58" t="s">
        <v>12</v>
      </c>
      <c r="B58" t="s">
        <v>369</v>
      </c>
      <c r="C58" t="s">
        <v>63</v>
      </c>
      <c r="D58" t="s">
        <v>198</v>
      </c>
      <c r="E58">
        <f t="shared" si="30"/>
        <v>0</v>
      </c>
      <c r="F58" s="65" t="s">
        <v>207</v>
      </c>
      <c r="G58">
        <f>H58*8</f>
        <v>0</v>
      </c>
      <c r="H58" s="121">
        <f t="shared" si="46"/>
        <v>0</v>
      </c>
      <c r="I58" s="136"/>
      <c r="J58" s="136"/>
      <c r="K58" s="66">
        <v>1</v>
      </c>
      <c r="L58" s="121">
        <f>COUNTIF(R58:BA58,"-")</f>
        <v>0</v>
      </c>
      <c r="M58" s="119">
        <f>COUNTIF(R58:T58,"-")*K58</f>
        <v>0</v>
      </c>
      <c r="N58" s="119">
        <f>COUNTIF(U58:AF58,"-")*$K58</f>
        <v>0</v>
      </c>
      <c r="O58" s="119">
        <f>COUNTIF(AG58:AQ58,"-")*$K58</f>
        <v>0</v>
      </c>
      <c r="P58" s="119"/>
      <c r="Q58" s="119"/>
    </row>
    <row r="59" spans="1:34" ht="15" customHeight="1" outlineLevel="1" x14ac:dyDescent="0.35">
      <c r="A59" t="s">
        <v>12</v>
      </c>
      <c r="B59" t="s">
        <v>384</v>
      </c>
      <c r="C59" t="s">
        <v>63</v>
      </c>
      <c r="D59" t="s">
        <v>459</v>
      </c>
      <c r="E59">
        <f t="shared" si="30"/>
        <v>0</v>
      </c>
      <c r="F59" s="65" t="s">
        <v>229</v>
      </c>
      <c r="G59">
        <f t="shared" ref="G59:G61" si="49">H59*8</f>
        <v>0</v>
      </c>
      <c r="H59" s="121">
        <f t="shared" si="46"/>
        <v>0</v>
      </c>
      <c r="I59" s="136"/>
      <c r="J59" s="136"/>
      <c r="K59" s="66">
        <v>3</v>
      </c>
      <c r="L59" s="121">
        <f>COUNTIF(R59:BA59,"-")</f>
        <v>0</v>
      </c>
      <c r="M59" s="119">
        <f>COUNTIF(R59:T59,"-")*K59</f>
        <v>0</v>
      </c>
      <c r="N59" s="119">
        <f>COUNTIF(U59:AF59,"-")*$K59</f>
        <v>0</v>
      </c>
      <c r="O59" s="119">
        <f>COUNTIF(AG59:AQ59,"-")*$K59</f>
        <v>0</v>
      </c>
      <c r="P59" s="119"/>
      <c r="Q59" s="119"/>
    </row>
    <row r="60" spans="1:34" ht="15" customHeight="1" outlineLevel="1" x14ac:dyDescent="0.35">
      <c r="A60" t="s">
        <v>12</v>
      </c>
      <c r="B60" t="s">
        <v>263</v>
      </c>
      <c r="C60" t="s">
        <v>63</v>
      </c>
      <c r="D60" t="s">
        <v>227</v>
      </c>
      <c r="E60">
        <f t="shared" si="30"/>
        <v>0</v>
      </c>
      <c r="F60" s="65" t="s">
        <v>248</v>
      </c>
      <c r="G60">
        <v>0</v>
      </c>
      <c r="H60" s="121">
        <v>0</v>
      </c>
      <c r="K60" s="66">
        <v>0</v>
      </c>
      <c r="L60" s="121">
        <v>0</v>
      </c>
      <c r="M60" s="119">
        <f>COUNTIF(R60:T60,"-")*K60</f>
        <v>0</v>
      </c>
      <c r="N60" s="119">
        <f>COUNTIF(U60:AF60,"-")*$K60</f>
        <v>0</v>
      </c>
      <c r="O60" s="119">
        <f>COUNTIF(AG60:AQ60,"-")*$K60</f>
        <v>0</v>
      </c>
      <c r="P60" s="119"/>
      <c r="Q60" s="119"/>
    </row>
    <row r="61" spans="1:34" ht="16.5" customHeight="1" outlineLevel="1" x14ac:dyDescent="0.35">
      <c r="A61" t="s">
        <v>12</v>
      </c>
      <c r="B61" t="s">
        <v>244</v>
      </c>
      <c r="C61" t="s">
        <v>63</v>
      </c>
      <c r="D61" t="s">
        <v>279</v>
      </c>
      <c r="E61">
        <f t="shared" si="30"/>
        <v>0</v>
      </c>
      <c r="F61" s="65" t="s">
        <v>204</v>
      </c>
      <c r="G61">
        <f t="shared" si="49"/>
        <v>0</v>
      </c>
      <c r="H61" s="121">
        <f t="shared" si="46"/>
        <v>0</v>
      </c>
      <c r="I61" s="136"/>
      <c r="J61" s="136"/>
      <c r="K61" s="66">
        <v>4</v>
      </c>
      <c r="L61" s="121">
        <f>COUNTIF(R61:BA61,"-")</f>
        <v>0</v>
      </c>
      <c r="M61" s="119">
        <f>COUNTIF(R61:T61,"-")*K61</f>
        <v>0</v>
      </c>
      <c r="N61" s="119">
        <f>COUNTIF(U61:AF61,"-")*$K61</f>
        <v>0</v>
      </c>
      <c r="O61" s="119">
        <f>COUNTIF(AG61:AQ61,"-")*$K61</f>
        <v>0</v>
      </c>
      <c r="P61" s="119"/>
      <c r="Q61" s="119"/>
    </row>
    <row r="62" spans="1:34" x14ac:dyDescent="0.35">
      <c r="A62" t="s">
        <v>12</v>
      </c>
      <c r="C62" t="s">
        <v>63</v>
      </c>
      <c r="D62" t="s">
        <v>278</v>
      </c>
      <c r="E62">
        <f t="shared" si="30"/>
        <v>0</v>
      </c>
      <c r="F62" s="13">
        <f t="shared" ref="F62:F66" si="50">E62/8</f>
        <v>0</v>
      </c>
      <c r="G62" s="12">
        <f t="shared" ref="G62:G66" si="51">COUNTIF(K62:AT62, "-")*H62</f>
        <v>0</v>
      </c>
      <c r="H62" s="119">
        <v>1</v>
      </c>
      <c r="I62" s="111">
        <f t="shared" ref="I62:I66" si="52">E62*54</f>
        <v>0</v>
      </c>
      <c r="J62" s="169" t="s">
        <v>471</v>
      </c>
      <c r="K62" s="12">
        <f>SUM(K63:K69)</f>
        <v>15</v>
      </c>
      <c r="L62" s="12">
        <f t="shared" ref="L62:P62" si="53">SUM(L63:L69)</f>
        <v>10</v>
      </c>
      <c r="M62" s="12">
        <f t="shared" si="53"/>
        <v>0</v>
      </c>
      <c r="N62" s="12">
        <f t="shared" si="53"/>
        <v>18</v>
      </c>
      <c r="O62" s="12">
        <f t="shared" si="53"/>
        <v>6</v>
      </c>
      <c r="P62" s="12">
        <f t="shared" si="53"/>
        <v>0</v>
      </c>
      <c r="Q62" s="119"/>
      <c r="W62" s="67"/>
      <c r="X62" s="67"/>
      <c r="Y62" s="67"/>
      <c r="Z62" s="67"/>
      <c r="AA62" s="67"/>
    </row>
    <row r="63" spans="1:34" outlineLevel="1" x14ac:dyDescent="0.35">
      <c r="A63" t="s">
        <v>12</v>
      </c>
      <c r="B63" t="s">
        <v>370</v>
      </c>
      <c r="C63" t="s">
        <v>63</v>
      </c>
      <c r="D63" t="s">
        <v>280</v>
      </c>
      <c r="E63">
        <f t="shared" si="30"/>
        <v>160</v>
      </c>
      <c r="F63" s="65">
        <f t="shared" si="50"/>
        <v>20</v>
      </c>
      <c r="G63">
        <f t="shared" si="51"/>
        <v>1</v>
      </c>
      <c r="H63" s="121">
        <v>1</v>
      </c>
      <c r="I63" s="137">
        <f t="shared" si="52"/>
        <v>8640</v>
      </c>
      <c r="J63" s="136"/>
      <c r="K63" s="66">
        <v>2</v>
      </c>
      <c r="L63" s="121">
        <f>COUNTIF(R63:BA63,"-")</f>
        <v>1</v>
      </c>
      <c r="M63" s="119">
        <f t="shared" ref="M63:M69" si="54">COUNTIF(R63:T63,"-")*K63</f>
        <v>0</v>
      </c>
      <c r="N63" s="119">
        <f t="shared" ref="N63:N69" si="55">COUNTIF(U63:AF63,"-")*$K63</f>
        <v>2</v>
      </c>
      <c r="O63" s="119">
        <f t="shared" ref="O63:O66" si="56">COUNTIF(AG63:AR63,"-")*$K63</f>
        <v>0</v>
      </c>
      <c r="P63" s="119">
        <f t="shared" ref="P63:P66" si="57">COUNTIF(AS63:BD63,"-")*$K63</f>
        <v>0</v>
      </c>
      <c r="Q63" s="119"/>
      <c r="W63" s="68" t="s">
        <v>17</v>
      </c>
    </row>
    <row r="64" spans="1:34" outlineLevel="1" x14ac:dyDescent="0.35">
      <c r="A64" t="s">
        <v>12</v>
      </c>
      <c r="B64" s="131" t="s">
        <v>399</v>
      </c>
      <c r="C64" t="s">
        <v>65</v>
      </c>
      <c r="D64" t="s">
        <v>198</v>
      </c>
      <c r="E64">
        <f t="shared" si="30"/>
        <v>320</v>
      </c>
      <c r="F64" s="65">
        <f t="shared" si="50"/>
        <v>40</v>
      </c>
      <c r="G64">
        <f t="shared" si="51"/>
        <v>2</v>
      </c>
      <c r="H64" s="121">
        <v>1</v>
      </c>
      <c r="I64" s="137">
        <f t="shared" si="52"/>
        <v>17280</v>
      </c>
      <c r="J64" s="136"/>
      <c r="K64" s="66">
        <v>3</v>
      </c>
      <c r="L64" s="121">
        <f>COUNTIF(R64:BA64,"-")</f>
        <v>2</v>
      </c>
      <c r="M64" s="119">
        <f t="shared" si="54"/>
        <v>0</v>
      </c>
      <c r="N64" s="119">
        <f t="shared" si="55"/>
        <v>6</v>
      </c>
      <c r="O64" s="119">
        <f t="shared" si="56"/>
        <v>0</v>
      </c>
      <c r="P64" s="119">
        <f t="shared" si="57"/>
        <v>0</v>
      </c>
      <c r="Q64" s="119"/>
      <c r="W64" s="68" t="s">
        <v>17</v>
      </c>
      <c r="X64" s="68" t="s">
        <v>17</v>
      </c>
    </row>
    <row r="65" spans="1:43" outlineLevel="1" x14ac:dyDescent="0.35">
      <c r="A65" t="s">
        <v>12</v>
      </c>
      <c r="B65" t="s">
        <v>371</v>
      </c>
      <c r="C65" t="s">
        <v>65</v>
      </c>
      <c r="D65" t="s">
        <v>459</v>
      </c>
      <c r="E65">
        <f t="shared" si="30"/>
        <v>320</v>
      </c>
      <c r="F65" s="65">
        <f t="shared" si="50"/>
        <v>40</v>
      </c>
      <c r="G65">
        <f t="shared" si="51"/>
        <v>2</v>
      </c>
      <c r="H65" s="121">
        <v>1</v>
      </c>
      <c r="I65" s="137">
        <f t="shared" si="52"/>
        <v>17280</v>
      </c>
      <c r="J65" s="136"/>
      <c r="K65" s="66">
        <v>2</v>
      </c>
      <c r="L65" s="121">
        <f>COUNTIF(R65:BA65,"-")</f>
        <v>2</v>
      </c>
      <c r="M65" s="119">
        <f t="shared" si="54"/>
        <v>0</v>
      </c>
      <c r="N65" s="119">
        <f t="shared" si="55"/>
        <v>4</v>
      </c>
      <c r="O65" s="119">
        <f t="shared" si="56"/>
        <v>0</v>
      </c>
      <c r="P65" s="119">
        <f t="shared" si="57"/>
        <v>0</v>
      </c>
      <c r="Q65" s="119"/>
      <c r="Y65" s="69" t="s">
        <v>17</v>
      </c>
      <c r="Z65" s="69" t="s">
        <v>17</v>
      </c>
    </row>
    <row r="66" spans="1:43" outlineLevel="1" x14ac:dyDescent="0.35">
      <c r="A66" t="s">
        <v>12</v>
      </c>
      <c r="B66" s="131" t="s">
        <v>399</v>
      </c>
      <c r="C66" t="s">
        <v>65</v>
      </c>
      <c r="D66" t="s">
        <v>227</v>
      </c>
      <c r="E66">
        <f t="shared" si="30"/>
        <v>320</v>
      </c>
      <c r="F66" s="65">
        <f t="shared" si="50"/>
        <v>40</v>
      </c>
      <c r="G66">
        <f t="shared" si="51"/>
        <v>2</v>
      </c>
      <c r="H66" s="121">
        <v>1</v>
      </c>
      <c r="I66" s="137">
        <f t="shared" si="52"/>
        <v>17280</v>
      </c>
      <c r="J66" s="136"/>
      <c r="K66" s="66">
        <v>3</v>
      </c>
      <c r="L66" s="121">
        <f>COUNTIF(R66:BA66,"-")</f>
        <v>2</v>
      </c>
      <c r="M66" s="119">
        <f t="shared" si="54"/>
        <v>0</v>
      </c>
      <c r="N66" s="119">
        <f t="shared" si="55"/>
        <v>6</v>
      </c>
      <c r="O66" s="119">
        <f t="shared" si="56"/>
        <v>0</v>
      </c>
      <c r="P66" s="119">
        <f t="shared" si="57"/>
        <v>0</v>
      </c>
      <c r="Q66" s="119"/>
      <c r="Y66" s="73" t="s">
        <v>17</v>
      </c>
      <c r="Z66" s="73" t="s">
        <v>17</v>
      </c>
    </row>
    <row r="67" spans="1:43" ht="16" customHeight="1" outlineLevel="1" x14ac:dyDescent="0.35">
      <c r="A67" t="s">
        <v>12</v>
      </c>
      <c r="B67" t="s">
        <v>263</v>
      </c>
      <c r="C67" t="s">
        <v>65</v>
      </c>
      <c r="D67" t="s">
        <v>279</v>
      </c>
      <c r="E67">
        <f t="shared" si="30"/>
        <v>0</v>
      </c>
      <c r="F67" s="65" t="s">
        <v>248</v>
      </c>
      <c r="G67">
        <v>0</v>
      </c>
      <c r="H67" s="121">
        <v>0</v>
      </c>
      <c r="K67" s="66">
        <v>0</v>
      </c>
      <c r="L67" s="121">
        <v>0</v>
      </c>
      <c r="M67" s="119">
        <f t="shared" si="54"/>
        <v>0</v>
      </c>
      <c r="N67" s="119">
        <f t="shared" si="55"/>
        <v>0</v>
      </c>
      <c r="O67" s="119">
        <f>COUNTIF(AG67:AQ67,"-")*$K67</f>
        <v>0</v>
      </c>
      <c r="P67" s="119"/>
      <c r="Q67" s="119"/>
      <c r="Z67" s="110"/>
    </row>
    <row r="68" spans="1:43" ht="16" customHeight="1" outlineLevel="1" x14ac:dyDescent="0.35">
      <c r="A68" t="s">
        <v>12</v>
      </c>
      <c r="C68" t="s">
        <v>65</v>
      </c>
      <c r="D68" t="s">
        <v>278</v>
      </c>
      <c r="E68">
        <f t="shared" ref="E68:E99" si="58">G68*160</f>
        <v>320</v>
      </c>
      <c r="F68" s="65">
        <f t="shared" ref="F68:F72" si="59">E68/8</f>
        <v>40</v>
      </c>
      <c r="G68">
        <f t="shared" ref="G68:G72" si="60">COUNTIF(K68:AT68, "-")*H68</f>
        <v>2</v>
      </c>
      <c r="H68" s="121">
        <v>1</v>
      </c>
      <c r="I68" s="124">
        <f t="shared" ref="I68:I72" si="61">E68*54</f>
        <v>17280</v>
      </c>
      <c r="K68" s="66">
        <v>1</v>
      </c>
      <c r="L68" s="121">
        <v>2</v>
      </c>
      <c r="M68" s="119">
        <f t="shared" si="54"/>
        <v>0</v>
      </c>
      <c r="N68" s="119">
        <f t="shared" si="55"/>
        <v>0</v>
      </c>
      <c r="O68" s="119">
        <f t="shared" ref="O68:O72" si="62">COUNTIF(AG68:AR68,"-")*$K68</f>
        <v>2</v>
      </c>
      <c r="P68" s="119">
        <f t="shared" ref="P68:P72" si="63">COUNTIF(AS68:BD68,"-")*$K68</f>
        <v>0</v>
      </c>
      <c r="Q68" s="119"/>
      <c r="AK68" s="69" t="s">
        <v>17</v>
      </c>
      <c r="AL68" s="69" t="s">
        <v>17</v>
      </c>
    </row>
    <row r="69" spans="1:43" outlineLevel="1" x14ac:dyDescent="0.35">
      <c r="A69" t="s">
        <v>12</v>
      </c>
      <c r="B69" t="s">
        <v>244</v>
      </c>
      <c r="C69" t="s">
        <v>65</v>
      </c>
      <c r="D69" t="s">
        <v>280</v>
      </c>
      <c r="E69">
        <f t="shared" si="58"/>
        <v>160</v>
      </c>
      <c r="F69" s="65">
        <f t="shared" si="59"/>
        <v>20</v>
      </c>
      <c r="G69">
        <f t="shared" si="60"/>
        <v>1</v>
      </c>
      <c r="H69" s="121">
        <v>1</v>
      </c>
      <c r="I69" s="137">
        <f t="shared" si="61"/>
        <v>8640</v>
      </c>
      <c r="J69" s="136"/>
      <c r="K69" s="66">
        <v>4</v>
      </c>
      <c r="L69" s="121">
        <f>COUNTIF(R69:BA69,"-")</f>
        <v>1</v>
      </c>
      <c r="M69" s="119">
        <f t="shared" si="54"/>
        <v>0</v>
      </c>
      <c r="N69" s="119">
        <f t="shared" si="55"/>
        <v>0</v>
      </c>
      <c r="O69" s="119">
        <f t="shared" si="62"/>
        <v>4</v>
      </c>
      <c r="P69" s="119">
        <f t="shared" si="63"/>
        <v>0</v>
      </c>
      <c r="Q69" s="119"/>
      <c r="AM69" s="70" t="s">
        <v>17</v>
      </c>
    </row>
    <row r="70" spans="1:43" x14ac:dyDescent="0.35">
      <c r="A70" t="s">
        <v>12</v>
      </c>
      <c r="C70" t="s">
        <v>67</v>
      </c>
      <c r="D70" t="s">
        <v>198</v>
      </c>
      <c r="E70">
        <f t="shared" ca="1" si="58"/>
        <v>1717760</v>
      </c>
      <c r="F70" s="75">
        <f t="shared" ca="1" si="59"/>
        <v>214720</v>
      </c>
      <c r="G70" s="119">
        <f t="shared" ca="1" si="60"/>
        <v>0</v>
      </c>
      <c r="H70" s="119">
        <v>1</v>
      </c>
      <c r="I70" s="111">
        <f t="shared" ca="1" si="61"/>
        <v>0</v>
      </c>
      <c r="J70" s="169"/>
      <c r="K70" s="119">
        <f>SUM(K71:K76)</f>
        <v>10</v>
      </c>
      <c r="L70" s="119">
        <f ca="1">SUM(L71:L76)</f>
        <v>26</v>
      </c>
      <c r="M70" s="119">
        <f>SUM(M71:M76)</f>
        <v>9</v>
      </c>
      <c r="N70" s="119">
        <f t="shared" ref="N70:P70" si="64">SUM(N71:N76)</f>
        <v>11</v>
      </c>
      <c r="O70" s="119">
        <f t="shared" si="64"/>
        <v>41</v>
      </c>
      <c r="P70" s="119">
        <f t="shared" si="64"/>
        <v>0</v>
      </c>
      <c r="Q70" s="119"/>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row>
    <row r="71" spans="1:43" outlineLevel="1" x14ac:dyDescent="0.35">
      <c r="A71" t="s">
        <v>12</v>
      </c>
      <c r="B71" t="s">
        <v>363</v>
      </c>
      <c r="C71" t="s">
        <v>67</v>
      </c>
      <c r="D71" t="s">
        <v>459</v>
      </c>
      <c r="E71" s="77">
        <f t="shared" si="58"/>
        <v>640</v>
      </c>
      <c r="F71" s="65">
        <f t="shared" si="59"/>
        <v>80</v>
      </c>
      <c r="G71">
        <f t="shared" si="60"/>
        <v>4</v>
      </c>
      <c r="H71" s="121">
        <v>1</v>
      </c>
      <c r="I71" s="137">
        <f t="shared" si="61"/>
        <v>34560</v>
      </c>
      <c r="J71" s="136"/>
      <c r="K71" s="66">
        <v>1</v>
      </c>
      <c r="L71" s="121">
        <v>4</v>
      </c>
      <c r="M71" s="119">
        <f t="shared" ref="M71:M92" si="65">COUNTIF(R71:T71,"-")*K71</f>
        <v>0</v>
      </c>
      <c r="N71" s="119">
        <f t="shared" ref="N71:N92" si="66">COUNTIF(U71:AF71,"-")*$K71</f>
        <v>4</v>
      </c>
      <c r="O71" s="119">
        <f t="shared" si="62"/>
        <v>0</v>
      </c>
      <c r="P71" s="119">
        <f t="shared" si="63"/>
        <v>0</v>
      </c>
      <c r="Q71" s="119"/>
      <c r="X71" s="68" t="s">
        <v>17</v>
      </c>
      <c r="Y71" s="68" t="s">
        <v>17</v>
      </c>
      <c r="Z71" s="68" t="s">
        <v>17</v>
      </c>
      <c r="AA71" s="68" t="s">
        <v>17</v>
      </c>
    </row>
    <row r="72" spans="1:43" outlineLevel="1" x14ac:dyDescent="0.35">
      <c r="A72" t="s">
        <v>12</v>
      </c>
      <c r="B72" t="s">
        <v>385</v>
      </c>
      <c r="C72" t="s">
        <v>67</v>
      </c>
      <c r="D72" t="s">
        <v>227</v>
      </c>
      <c r="E72" s="77">
        <f t="shared" ca="1" si="58"/>
        <v>153600</v>
      </c>
      <c r="F72" s="65">
        <f t="shared" ca="1" si="59"/>
        <v>19200</v>
      </c>
      <c r="G72">
        <f t="shared" ca="1" si="60"/>
        <v>0</v>
      </c>
      <c r="H72" s="174">
        <v>1</v>
      </c>
      <c r="I72" s="124">
        <f t="shared" ca="1" si="61"/>
        <v>0</v>
      </c>
      <c r="J72" s="136"/>
      <c r="K72" s="66">
        <v>2</v>
      </c>
      <c r="L72" s="121">
        <f ca="1">G72/K72/160</f>
        <v>3</v>
      </c>
      <c r="M72" s="119">
        <f t="shared" si="65"/>
        <v>0</v>
      </c>
      <c r="N72" s="119">
        <f t="shared" si="66"/>
        <v>4</v>
      </c>
      <c r="O72" s="119">
        <f t="shared" si="62"/>
        <v>2</v>
      </c>
      <c r="P72" s="119">
        <f t="shared" si="63"/>
        <v>0</v>
      </c>
      <c r="Q72" s="119"/>
      <c r="AB72" s="69"/>
      <c r="AC72" s="69"/>
      <c r="AD72" s="69"/>
      <c r="AE72" s="69" t="s">
        <v>17</v>
      </c>
      <c r="AF72" s="69" t="s">
        <v>17</v>
      </c>
      <c r="AG72" s="69" t="s">
        <v>17</v>
      </c>
    </row>
    <row r="73" spans="1:43" outlineLevel="1" x14ac:dyDescent="0.35">
      <c r="A73" t="s">
        <v>12</v>
      </c>
      <c r="B73" t="s">
        <v>263</v>
      </c>
      <c r="C73" t="s">
        <v>67</v>
      </c>
      <c r="D73" t="s">
        <v>279</v>
      </c>
      <c r="E73" s="77">
        <f t="shared" si="58"/>
        <v>0</v>
      </c>
      <c r="F73" s="65" t="s">
        <v>248</v>
      </c>
      <c r="G73">
        <v>0</v>
      </c>
      <c r="H73" s="121">
        <v>0</v>
      </c>
      <c r="K73" s="66">
        <v>0</v>
      </c>
      <c r="L73" s="121">
        <v>0</v>
      </c>
      <c r="M73" s="119">
        <f t="shared" si="65"/>
        <v>0</v>
      </c>
      <c r="N73" s="119">
        <f t="shared" si="66"/>
        <v>0</v>
      </c>
      <c r="O73" s="119">
        <f>COUNTIF(AG73:AQ73,"-")*$K73</f>
        <v>0</v>
      </c>
      <c r="P73" s="119"/>
      <c r="Q73" s="119"/>
      <c r="AJ73" s="110"/>
      <c r="AK73" s="110"/>
    </row>
    <row r="74" spans="1:43" outlineLevel="1" x14ac:dyDescent="0.35">
      <c r="A74" t="s">
        <v>12</v>
      </c>
      <c r="B74" t="s">
        <v>385</v>
      </c>
      <c r="C74" t="s">
        <v>67</v>
      </c>
      <c r="D74" t="s">
        <v>278</v>
      </c>
      <c r="E74" s="77">
        <f t="shared" si="58"/>
        <v>800</v>
      </c>
      <c r="F74" s="65">
        <f t="shared" ref="F74:F76" si="67">E74/8</f>
        <v>100</v>
      </c>
      <c r="G74">
        <f t="shared" ref="G74:G76" si="68">COUNTIF(K74:AT74, "-")*H74</f>
        <v>5</v>
      </c>
      <c r="H74" s="174">
        <v>1</v>
      </c>
      <c r="I74" s="124">
        <f t="shared" ref="I74:I76" si="69">E74*54</f>
        <v>43200</v>
      </c>
      <c r="K74" s="66">
        <v>2</v>
      </c>
      <c r="L74" s="121">
        <v>4</v>
      </c>
      <c r="M74" s="119">
        <f t="shared" si="65"/>
        <v>0</v>
      </c>
      <c r="N74" s="119">
        <f t="shared" si="66"/>
        <v>0</v>
      </c>
      <c r="O74" s="119">
        <f t="shared" ref="O74:O76" si="70">COUNTIF(AG74:AR74,"-")*$K74</f>
        <v>10</v>
      </c>
      <c r="P74" s="119">
        <f t="shared" ref="P74:P76" si="71">COUNTIF(AS74:BD74,"-")*$K74</f>
        <v>0</v>
      </c>
      <c r="Q74" s="119"/>
      <c r="AH74" s="69" t="s">
        <v>17</v>
      </c>
      <c r="AI74" s="69" t="s">
        <v>17</v>
      </c>
      <c r="AJ74" s="69" t="s">
        <v>17</v>
      </c>
      <c r="AK74" s="69" t="s">
        <v>17</v>
      </c>
      <c r="AL74" s="69" t="s">
        <v>17</v>
      </c>
    </row>
    <row r="75" spans="1:43" outlineLevel="1" x14ac:dyDescent="0.35">
      <c r="A75" t="s">
        <v>12</v>
      </c>
      <c r="B75" t="s">
        <v>385</v>
      </c>
      <c r="C75" t="s">
        <v>67</v>
      </c>
      <c r="D75" t="s">
        <v>280</v>
      </c>
      <c r="E75" s="77">
        <f t="shared" si="58"/>
        <v>640</v>
      </c>
      <c r="F75" s="65">
        <f t="shared" si="67"/>
        <v>80</v>
      </c>
      <c r="G75">
        <f t="shared" si="68"/>
        <v>4</v>
      </c>
      <c r="H75" s="121">
        <v>1</v>
      </c>
      <c r="I75" s="124">
        <f t="shared" si="69"/>
        <v>34560</v>
      </c>
      <c r="K75" s="66">
        <v>2</v>
      </c>
      <c r="L75" s="121">
        <v>4</v>
      </c>
      <c r="M75" s="119">
        <f t="shared" si="65"/>
        <v>0</v>
      </c>
      <c r="N75" s="119">
        <f t="shared" si="66"/>
        <v>0</v>
      </c>
      <c r="O75" s="119">
        <f t="shared" si="70"/>
        <v>8</v>
      </c>
      <c r="P75" s="119">
        <f t="shared" si="71"/>
        <v>0</v>
      </c>
      <c r="Q75" s="119"/>
      <c r="AK75" s="69"/>
      <c r="AL75" s="69"/>
      <c r="AM75" s="69" t="s">
        <v>17</v>
      </c>
      <c r="AN75" s="69" t="s">
        <v>17</v>
      </c>
      <c r="AO75" s="69" t="s">
        <v>17</v>
      </c>
      <c r="AP75" s="69" t="s">
        <v>17</v>
      </c>
    </row>
    <row r="76" spans="1:43" ht="17.5" customHeight="1" outlineLevel="1" x14ac:dyDescent="0.35">
      <c r="A76" t="s">
        <v>12</v>
      </c>
      <c r="B76" t="s">
        <v>244</v>
      </c>
      <c r="C76" t="s">
        <v>74</v>
      </c>
      <c r="D76" t="s">
        <v>198</v>
      </c>
      <c r="E76" s="77">
        <f t="shared" si="58"/>
        <v>1760</v>
      </c>
      <c r="F76" s="65">
        <f t="shared" si="67"/>
        <v>220</v>
      </c>
      <c r="G76">
        <f t="shared" si="68"/>
        <v>11</v>
      </c>
      <c r="H76" s="121">
        <v>1</v>
      </c>
      <c r="I76" s="137">
        <f t="shared" si="69"/>
        <v>95040</v>
      </c>
      <c r="J76" s="136"/>
      <c r="K76" s="66">
        <v>3</v>
      </c>
      <c r="L76" s="121">
        <f>COUNTIF(R76:AQ76,"-")</f>
        <v>11</v>
      </c>
      <c r="M76" s="121">
        <f t="shared" si="65"/>
        <v>9</v>
      </c>
      <c r="N76" s="119">
        <f t="shared" si="66"/>
        <v>3</v>
      </c>
      <c r="O76" s="119">
        <f t="shared" si="70"/>
        <v>21</v>
      </c>
      <c r="P76" s="119">
        <f t="shared" si="71"/>
        <v>0</v>
      </c>
      <c r="Q76" s="119"/>
      <c r="R76" s="70" t="s">
        <v>17</v>
      </c>
      <c r="S76" s="70" t="s">
        <v>17</v>
      </c>
      <c r="T76" s="70" t="s">
        <v>17</v>
      </c>
      <c r="U76" s="70" t="s">
        <v>17</v>
      </c>
      <c r="AK76" s="70" t="s">
        <v>17</v>
      </c>
      <c r="AL76" s="70" t="s">
        <v>17</v>
      </c>
      <c r="AM76" s="70" t="s">
        <v>17</v>
      </c>
      <c r="AN76" s="70" t="s">
        <v>17</v>
      </c>
      <c r="AO76" s="70" t="s">
        <v>17</v>
      </c>
      <c r="AP76" s="70" t="s">
        <v>17</v>
      </c>
      <c r="AQ76" s="70" t="s">
        <v>17</v>
      </c>
    </row>
    <row r="77" spans="1:43" outlineLevel="2" x14ac:dyDescent="0.35">
      <c r="A77" t="s">
        <v>12</v>
      </c>
      <c r="C77" t="s">
        <v>74</v>
      </c>
      <c r="D77" t="s">
        <v>459</v>
      </c>
      <c r="E77" s="175">
        <f t="shared" si="58"/>
        <v>15686.400000000001</v>
      </c>
      <c r="F77" s="65" t="s">
        <v>204</v>
      </c>
      <c r="G77">
        <f>0.38*258</f>
        <v>98.04</v>
      </c>
      <c r="H77" s="121">
        <f t="shared" si="46"/>
        <v>13.480500000000001</v>
      </c>
      <c r="K77" s="66">
        <v>1</v>
      </c>
      <c r="L77" s="121">
        <f t="shared" ref="L77:L92" si="72">G77/K77/160</f>
        <v>0.61275000000000002</v>
      </c>
      <c r="M77" s="119">
        <f t="shared" si="65"/>
        <v>0</v>
      </c>
      <c r="N77" s="119">
        <f t="shared" si="66"/>
        <v>0</v>
      </c>
      <c r="O77" s="119">
        <f t="shared" ref="O77:O92" si="73">COUNTIF(AG77:AQ77,"-")*$K77</f>
        <v>0</v>
      </c>
      <c r="P77" s="119"/>
      <c r="Q77" s="119">
        <f t="shared" ref="Q77:Q92" si="74">COUNTIF(R77:BB77,"-")*K77*176</f>
        <v>0</v>
      </c>
    </row>
    <row r="78" spans="1:43" outlineLevel="2" x14ac:dyDescent="0.35">
      <c r="A78" t="s">
        <v>12</v>
      </c>
      <c r="C78" t="s">
        <v>74</v>
      </c>
      <c r="D78" t="s">
        <v>227</v>
      </c>
      <c r="E78" s="77">
        <f t="shared" si="58"/>
        <v>12889.6</v>
      </c>
      <c r="F78" s="65" t="s">
        <v>204</v>
      </c>
      <c r="G78">
        <f>0.38*212</f>
        <v>80.56</v>
      </c>
      <c r="H78" s="121">
        <f t="shared" si="46"/>
        <v>11.077000000000002</v>
      </c>
      <c r="K78" s="66">
        <v>1</v>
      </c>
      <c r="L78" s="121">
        <f t="shared" si="72"/>
        <v>0.50350000000000006</v>
      </c>
      <c r="M78" s="119">
        <f t="shared" si="65"/>
        <v>0</v>
      </c>
      <c r="N78" s="119">
        <f t="shared" si="66"/>
        <v>0</v>
      </c>
      <c r="O78" s="119">
        <f t="shared" si="73"/>
        <v>0</v>
      </c>
      <c r="P78" s="119"/>
      <c r="Q78" s="119">
        <f t="shared" si="74"/>
        <v>0</v>
      </c>
    </row>
    <row r="79" spans="1:43" outlineLevel="2" x14ac:dyDescent="0.35">
      <c r="A79" t="s">
        <v>12</v>
      </c>
      <c r="C79" t="s">
        <v>74</v>
      </c>
      <c r="D79" t="s">
        <v>279</v>
      </c>
      <c r="E79" s="77">
        <f t="shared" si="58"/>
        <v>33318.400000000001</v>
      </c>
      <c r="F79" s="65" t="s">
        <v>204</v>
      </c>
      <c r="G79">
        <f>0.38*548</f>
        <v>208.24</v>
      </c>
      <c r="H79" s="121">
        <f t="shared" si="46"/>
        <v>28.633000000000003</v>
      </c>
      <c r="K79" s="66">
        <v>1</v>
      </c>
      <c r="L79" s="121">
        <f t="shared" si="72"/>
        <v>1.3015000000000001</v>
      </c>
      <c r="M79" s="119">
        <f t="shared" si="65"/>
        <v>0</v>
      </c>
      <c r="N79" s="119">
        <f t="shared" si="66"/>
        <v>0</v>
      </c>
      <c r="O79" s="119">
        <f t="shared" si="73"/>
        <v>0</v>
      </c>
      <c r="P79" s="119"/>
      <c r="Q79" s="119">
        <f t="shared" si="74"/>
        <v>0</v>
      </c>
    </row>
    <row r="80" spans="1:43" outlineLevel="2" x14ac:dyDescent="0.35">
      <c r="A80" t="s">
        <v>12</v>
      </c>
      <c r="C80" t="s">
        <v>74</v>
      </c>
      <c r="D80" t="s">
        <v>278</v>
      </c>
      <c r="E80" s="176">
        <f t="shared" si="58"/>
        <v>58732.799999999996</v>
      </c>
      <c r="F80" s="65" t="s">
        <v>204</v>
      </c>
      <c r="G80">
        <f>0.38*966</f>
        <v>367.08</v>
      </c>
      <c r="H80" s="121">
        <f t="shared" si="46"/>
        <v>50.473500000000001</v>
      </c>
      <c r="K80" s="66">
        <v>1</v>
      </c>
      <c r="L80" s="121">
        <f t="shared" si="72"/>
        <v>2.2942499999999999</v>
      </c>
      <c r="M80" s="119">
        <f t="shared" si="65"/>
        <v>0</v>
      </c>
      <c r="N80" s="119">
        <f t="shared" si="66"/>
        <v>0</v>
      </c>
      <c r="O80" s="119">
        <f t="shared" si="73"/>
        <v>0</v>
      </c>
      <c r="P80" s="119"/>
      <c r="Q80" s="119">
        <f t="shared" si="74"/>
        <v>0</v>
      </c>
    </row>
    <row r="81" spans="1:43" outlineLevel="2" x14ac:dyDescent="0.35">
      <c r="A81" t="s">
        <v>12</v>
      </c>
      <c r="C81" t="s">
        <v>74</v>
      </c>
      <c r="D81" t="s">
        <v>280</v>
      </c>
      <c r="E81" s="176">
        <f t="shared" si="58"/>
        <v>58732.799999999996</v>
      </c>
      <c r="F81" s="65" t="s">
        <v>204</v>
      </c>
      <c r="G81">
        <f>0.38*966</f>
        <v>367.08</v>
      </c>
      <c r="H81" s="121">
        <f t="shared" si="46"/>
        <v>50.473500000000001</v>
      </c>
      <c r="K81" s="66">
        <v>1</v>
      </c>
      <c r="L81" s="121">
        <f t="shared" si="72"/>
        <v>2.2942499999999999</v>
      </c>
      <c r="M81" s="119">
        <f t="shared" si="65"/>
        <v>0</v>
      </c>
      <c r="N81" s="119">
        <f t="shared" si="66"/>
        <v>0</v>
      </c>
      <c r="O81" s="119">
        <f t="shared" si="73"/>
        <v>0</v>
      </c>
      <c r="P81" s="119"/>
      <c r="Q81" s="119">
        <f t="shared" si="74"/>
        <v>0</v>
      </c>
    </row>
    <row r="82" spans="1:43" outlineLevel="2" x14ac:dyDescent="0.35">
      <c r="A82" t="s">
        <v>12</v>
      </c>
      <c r="C82" t="s">
        <v>188</v>
      </c>
      <c r="D82" t="s">
        <v>198</v>
      </c>
      <c r="E82" s="77">
        <f t="shared" si="58"/>
        <v>58732.799999999996</v>
      </c>
      <c r="F82" s="65" t="s">
        <v>204</v>
      </c>
      <c r="G82">
        <f>0.38*966</f>
        <v>367.08</v>
      </c>
      <c r="H82" s="121">
        <f t="shared" si="46"/>
        <v>50.473500000000001</v>
      </c>
      <c r="K82" s="66">
        <v>1</v>
      </c>
      <c r="L82" s="121">
        <f t="shared" si="72"/>
        <v>2.2942499999999999</v>
      </c>
      <c r="M82" s="119">
        <f t="shared" si="65"/>
        <v>0</v>
      </c>
      <c r="N82" s="119">
        <f t="shared" si="66"/>
        <v>0</v>
      </c>
      <c r="O82" s="119">
        <f t="shared" si="73"/>
        <v>0</v>
      </c>
      <c r="P82" s="119"/>
      <c r="Q82" s="119">
        <f t="shared" si="74"/>
        <v>0</v>
      </c>
    </row>
    <row r="83" spans="1:43" outlineLevel="2" x14ac:dyDescent="0.35">
      <c r="A83" t="s">
        <v>12</v>
      </c>
      <c r="C83" t="s">
        <v>188</v>
      </c>
      <c r="D83" t="s">
        <v>459</v>
      </c>
      <c r="E83" s="77">
        <f t="shared" si="58"/>
        <v>58732.799999999996</v>
      </c>
      <c r="F83" s="65" t="s">
        <v>204</v>
      </c>
      <c r="G83">
        <f>0.38*966</f>
        <v>367.08</v>
      </c>
      <c r="H83" s="121">
        <f t="shared" si="46"/>
        <v>50.473500000000001</v>
      </c>
      <c r="K83" s="66">
        <v>1</v>
      </c>
      <c r="L83" s="121">
        <f t="shared" si="72"/>
        <v>2.2942499999999999</v>
      </c>
      <c r="M83" s="119">
        <f t="shared" si="65"/>
        <v>0</v>
      </c>
      <c r="N83" s="119">
        <f t="shared" si="66"/>
        <v>0</v>
      </c>
      <c r="O83" s="119">
        <f t="shared" si="73"/>
        <v>0</v>
      </c>
      <c r="P83" s="119"/>
      <c r="Q83" s="119">
        <f t="shared" si="74"/>
        <v>0</v>
      </c>
    </row>
    <row r="84" spans="1:43" outlineLevel="2" x14ac:dyDescent="0.35">
      <c r="A84" t="s">
        <v>12</v>
      </c>
      <c r="C84" t="s">
        <v>188</v>
      </c>
      <c r="D84" t="s">
        <v>227</v>
      </c>
      <c r="E84" s="77">
        <f t="shared" si="58"/>
        <v>51004.800000000003</v>
      </c>
      <c r="F84" s="65" t="s">
        <v>229</v>
      </c>
      <c r="G84">
        <f>0.33*966</f>
        <v>318.78000000000003</v>
      </c>
      <c r="H84" s="121">
        <f t="shared" si="46"/>
        <v>43.832250000000002</v>
      </c>
      <c r="K84" s="66">
        <v>1</v>
      </c>
      <c r="L84" s="121">
        <f t="shared" si="72"/>
        <v>1.9923750000000002</v>
      </c>
      <c r="M84" s="119">
        <f t="shared" si="65"/>
        <v>0</v>
      </c>
      <c r="N84" s="119">
        <f t="shared" si="66"/>
        <v>0</v>
      </c>
      <c r="O84" s="119">
        <f t="shared" si="73"/>
        <v>0</v>
      </c>
      <c r="P84" s="119"/>
      <c r="Q84" s="119">
        <f t="shared" si="74"/>
        <v>0</v>
      </c>
    </row>
    <row r="85" spans="1:43" outlineLevel="2" x14ac:dyDescent="0.35">
      <c r="A85" t="s">
        <v>12</v>
      </c>
      <c r="C85" t="s">
        <v>188</v>
      </c>
      <c r="D85" t="s">
        <v>279</v>
      </c>
      <c r="E85" s="77">
        <f t="shared" si="58"/>
        <v>95827.199999999997</v>
      </c>
      <c r="F85" s="65" t="s">
        <v>272</v>
      </c>
      <c r="G85">
        <f>0.62*966</f>
        <v>598.91999999999996</v>
      </c>
      <c r="H85" s="121">
        <f t="shared" si="46"/>
        <v>82.351499999999987</v>
      </c>
      <c r="K85" s="66">
        <v>1</v>
      </c>
      <c r="L85" s="121">
        <f t="shared" si="72"/>
        <v>3.7432499999999997</v>
      </c>
      <c r="M85" s="119">
        <f t="shared" si="65"/>
        <v>0</v>
      </c>
      <c r="N85" s="119">
        <f t="shared" si="66"/>
        <v>0</v>
      </c>
      <c r="O85" s="119">
        <f t="shared" si="73"/>
        <v>0</v>
      </c>
      <c r="P85" s="119"/>
      <c r="Q85" s="119">
        <f t="shared" si="74"/>
        <v>0</v>
      </c>
    </row>
    <row r="86" spans="1:43" outlineLevel="2" x14ac:dyDescent="0.35">
      <c r="A86" t="s">
        <v>12</v>
      </c>
      <c r="C86" t="s">
        <v>188</v>
      </c>
      <c r="D86" t="s">
        <v>278</v>
      </c>
      <c r="E86" s="77">
        <f t="shared" si="58"/>
        <v>58732.799999999996</v>
      </c>
      <c r="F86" s="65" t="s">
        <v>204</v>
      </c>
      <c r="G86">
        <f>0.38*966</f>
        <v>367.08</v>
      </c>
      <c r="H86" s="121">
        <f t="shared" si="46"/>
        <v>50.473500000000001</v>
      </c>
      <c r="K86" s="66">
        <v>1</v>
      </c>
      <c r="L86" s="121">
        <f t="shared" si="72"/>
        <v>2.2942499999999999</v>
      </c>
      <c r="M86" s="119">
        <f t="shared" si="65"/>
        <v>0</v>
      </c>
      <c r="N86" s="119">
        <f t="shared" si="66"/>
        <v>0</v>
      </c>
      <c r="O86" s="119">
        <f t="shared" si="73"/>
        <v>0</v>
      </c>
      <c r="P86" s="119"/>
      <c r="Q86" s="119">
        <f t="shared" si="74"/>
        <v>0</v>
      </c>
    </row>
    <row r="87" spans="1:43" outlineLevel="2" x14ac:dyDescent="0.35">
      <c r="A87" t="s">
        <v>12</v>
      </c>
      <c r="C87" t="s">
        <v>188</v>
      </c>
      <c r="D87" t="s">
        <v>280</v>
      </c>
      <c r="E87" s="77">
        <f t="shared" si="58"/>
        <v>59520</v>
      </c>
      <c r="F87" s="65" t="s">
        <v>273</v>
      </c>
      <c r="G87">
        <f>0.62*600</f>
        <v>372</v>
      </c>
      <c r="H87" s="121">
        <f t="shared" si="46"/>
        <v>51.150000000000006</v>
      </c>
      <c r="K87" s="66">
        <v>1</v>
      </c>
      <c r="L87" s="121">
        <f t="shared" si="72"/>
        <v>2.3250000000000002</v>
      </c>
      <c r="M87" s="119">
        <f t="shared" si="65"/>
        <v>0</v>
      </c>
      <c r="N87" s="119">
        <f t="shared" si="66"/>
        <v>0</v>
      </c>
      <c r="O87" s="119">
        <f t="shared" si="73"/>
        <v>0</v>
      </c>
      <c r="P87" s="119"/>
      <c r="Q87" s="119">
        <f t="shared" si="74"/>
        <v>0</v>
      </c>
    </row>
    <row r="88" spans="1:43" outlineLevel="2" x14ac:dyDescent="0.35">
      <c r="A88" t="s">
        <v>12</v>
      </c>
      <c r="C88" t="s">
        <v>76</v>
      </c>
      <c r="D88" t="s">
        <v>198</v>
      </c>
      <c r="E88" s="77">
        <f t="shared" si="58"/>
        <v>36480</v>
      </c>
      <c r="F88" s="65" t="s">
        <v>204</v>
      </c>
      <c r="G88">
        <f>0.38*600</f>
        <v>228</v>
      </c>
      <c r="H88" s="121">
        <f t="shared" si="46"/>
        <v>31.35</v>
      </c>
      <c r="K88" s="66">
        <v>1</v>
      </c>
      <c r="L88" s="121">
        <f t="shared" si="72"/>
        <v>1.425</v>
      </c>
      <c r="M88" s="119">
        <f t="shared" si="65"/>
        <v>0</v>
      </c>
      <c r="N88" s="119">
        <f t="shared" si="66"/>
        <v>0</v>
      </c>
      <c r="O88" s="119">
        <f t="shared" si="73"/>
        <v>0</v>
      </c>
      <c r="P88" s="119"/>
      <c r="Q88" s="119">
        <f t="shared" si="74"/>
        <v>0</v>
      </c>
    </row>
    <row r="89" spans="1:43" outlineLevel="2" x14ac:dyDescent="0.35">
      <c r="A89" t="s">
        <v>12</v>
      </c>
      <c r="C89" t="s">
        <v>76</v>
      </c>
      <c r="D89" t="s">
        <v>459</v>
      </c>
      <c r="E89">
        <f t="shared" si="58"/>
        <v>15872</v>
      </c>
      <c r="F89" s="65" t="s">
        <v>272</v>
      </c>
      <c r="G89">
        <f>0.62*160</f>
        <v>99.2</v>
      </c>
      <c r="H89" s="121">
        <f t="shared" si="46"/>
        <v>13.64</v>
      </c>
      <c r="K89" s="66">
        <v>1</v>
      </c>
      <c r="L89" s="121">
        <f t="shared" si="72"/>
        <v>0.62</v>
      </c>
      <c r="M89" s="119">
        <f t="shared" si="65"/>
        <v>0</v>
      </c>
      <c r="N89" s="119">
        <f t="shared" si="66"/>
        <v>0</v>
      </c>
      <c r="O89" s="119">
        <f t="shared" si="73"/>
        <v>0</v>
      </c>
      <c r="P89" s="119"/>
      <c r="Q89" s="119">
        <f t="shared" si="74"/>
        <v>0</v>
      </c>
    </row>
    <row r="90" spans="1:43" outlineLevel="2" x14ac:dyDescent="0.35">
      <c r="A90" t="s">
        <v>12</v>
      </c>
      <c r="C90" t="s">
        <v>76</v>
      </c>
      <c r="D90" t="s">
        <v>227</v>
      </c>
      <c r="E90">
        <f t="shared" si="58"/>
        <v>9728</v>
      </c>
      <c r="F90" s="65" t="s">
        <v>204</v>
      </c>
      <c r="G90">
        <f>0.38*160</f>
        <v>60.8</v>
      </c>
      <c r="H90" s="121">
        <f t="shared" si="46"/>
        <v>8.36</v>
      </c>
      <c r="K90" s="66">
        <v>1</v>
      </c>
      <c r="L90" s="121">
        <f t="shared" si="72"/>
        <v>0.38</v>
      </c>
      <c r="M90" s="119">
        <f t="shared" si="65"/>
        <v>0</v>
      </c>
      <c r="N90" s="119">
        <f t="shared" si="66"/>
        <v>0</v>
      </c>
      <c r="O90" s="119">
        <f t="shared" si="73"/>
        <v>0</v>
      </c>
      <c r="P90" s="119"/>
      <c r="Q90" s="119">
        <f t="shared" si="74"/>
        <v>0</v>
      </c>
    </row>
    <row r="91" spans="1:43" outlineLevel="2" x14ac:dyDescent="0.35">
      <c r="A91" t="s">
        <v>12</v>
      </c>
      <c r="C91" t="s">
        <v>76</v>
      </c>
      <c r="D91" t="s">
        <v>279</v>
      </c>
      <c r="E91" s="77">
        <f t="shared" si="58"/>
        <v>89280</v>
      </c>
      <c r="F91" s="65" t="s">
        <v>271</v>
      </c>
      <c r="G91">
        <f>0.62*900</f>
        <v>558</v>
      </c>
      <c r="H91" s="121">
        <f t="shared" si="46"/>
        <v>76.724999999999994</v>
      </c>
      <c r="K91" s="66">
        <v>1</v>
      </c>
      <c r="L91" s="121">
        <f t="shared" si="72"/>
        <v>3.4874999999999998</v>
      </c>
      <c r="M91" s="119">
        <f t="shared" si="65"/>
        <v>0</v>
      </c>
      <c r="N91" s="119">
        <f t="shared" si="66"/>
        <v>0</v>
      </c>
      <c r="O91" s="119">
        <f t="shared" si="73"/>
        <v>0</v>
      </c>
      <c r="P91" s="119"/>
      <c r="Q91" s="119">
        <f t="shared" si="74"/>
        <v>0</v>
      </c>
    </row>
    <row r="92" spans="1:43" outlineLevel="2" x14ac:dyDescent="0.35">
      <c r="A92" t="s">
        <v>12</v>
      </c>
      <c r="C92" t="s">
        <v>76</v>
      </c>
      <c r="D92" t="s">
        <v>278</v>
      </c>
      <c r="E92" s="77">
        <f t="shared" si="58"/>
        <v>54720</v>
      </c>
      <c r="F92" s="65" t="s">
        <v>204</v>
      </c>
      <c r="G92">
        <f>0.38*900</f>
        <v>342</v>
      </c>
      <c r="H92" s="121">
        <f t="shared" ref="H92" si="75">K92*L92*22</f>
        <v>47.025000000000006</v>
      </c>
      <c r="K92" s="66">
        <v>1</v>
      </c>
      <c r="L92" s="121">
        <f t="shared" si="72"/>
        <v>2.1375000000000002</v>
      </c>
      <c r="M92" s="119">
        <f t="shared" si="65"/>
        <v>0</v>
      </c>
      <c r="N92" s="119">
        <f t="shared" si="66"/>
        <v>0</v>
      </c>
      <c r="O92" s="119">
        <f t="shared" si="73"/>
        <v>0</v>
      </c>
      <c r="P92" s="119"/>
      <c r="Q92" s="119">
        <f t="shared" si="74"/>
        <v>0</v>
      </c>
    </row>
    <row r="93" spans="1:43" ht="15" customHeight="1" x14ac:dyDescent="0.35">
      <c r="A93" t="s">
        <v>12</v>
      </c>
      <c r="C93" t="s">
        <v>76</v>
      </c>
      <c r="D93" s="44" t="s">
        <v>280</v>
      </c>
      <c r="E93" s="118">
        <f t="shared" si="58"/>
        <v>0</v>
      </c>
      <c r="F93" s="13">
        <f t="shared" ref="F93:F129" si="76">E93/8</f>
        <v>0</v>
      </c>
      <c r="G93" s="12">
        <f t="shared" ref="G93:G129" si="77">COUNTIF(K93:AT93, "-")*H93</f>
        <v>0</v>
      </c>
      <c r="H93" s="12">
        <v>1</v>
      </c>
      <c r="I93" s="111">
        <f t="shared" ref="I93:I129" si="78">E93*54</f>
        <v>0</v>
      </c>
      <c r="J93" s="169" t="s">
        <v>471</v>
      </c>
      <c r="K93" s="12">
        <f t="shared" ref="K93:P93" si="79">SUM(K94:K95)</f>
        <v>6</v>
      </c>
      <c r="L93" s="12">
        <f t="shared" si="79"/>
        <v>2</v>
      </c>
      <c r="M93" s="12">
        <f t="shared" si="79"/>
        <v>0</v>
      </c>
      <c r="N93" s="12">
        <f t="shared" si="79"/>
        <v>6</v>
      </c>
      <c r="O93" s="12">
        <f t="shared" si="79"/>
        <v>0</v>
      </c>
      <c r="P93" s="12">
        <f t="shared" si="79"/>
        <v>0</v>
      </c>
      <c r="Q93" s="119"/>
      <c r="AE93" s="67"/>
      <c r="AF93" s="67"/>
    </row>
    <row r="94" spans="1:43" outlineLevel="1" x14ac:dyDescent="0.35">
      <c r="A94" t="s">
        <v>12</v>
      </c>
      <c r="B94" s="131" t="s">
        <v>378</v>
      </c>
      <c r="C94" t="s">
        <v>88</v>
      </c>
      <c r="D94" s="44" t="s">
        <v>198</v>
      </c>
      <c r="E94">
        <f t="shared" si="58"/>
        <v>160</v>
      </c>
      <c r="F94">
        <f t="shared" si="76"/>
        <v>20</v>
      </c>
      <c r="G94">
        <f t="shared" si="77"/>
        <v>1</v>
      </c>
      <c r="H94" s="121">
        <v>1</v>
      </c>
      <c r="I94" s="137">
        <f t="shared" si="78"/>
        <v>8640</v>
      </c>
      <c r="J94" s="136"/>
      <c r="K94">
        <v>2</v>
      </c>
      <c r="L94" s="121">
        <f t="shared" ref="L94:L95" si="80">COUNTIF(R94:BA94,"-")</f>
        <v>1</v>
      </c>
      <c r="M94" s="119">
        <f>COUNTIF(R94:T94,"-")*K94</f>
        <v>0</v>
      </c>
      <c r="N94" s="119">
        <f>COUNTIF(U94:AF94,"-")*$K94</f>
        <v>2</v>
      </c>
      <c r="O94" s="119">
        <f t="shared" ref="O94:O110" si="81">COUNTIF(AG94:AR94,"-")*$K94</f>
        <v>0</v>
      </c>
      <c r="P94" s="119">
        <f t="shared" ref="P94:P110" si="82">COUNTIF(AS94:BD94,"-")*$K94</f>
        <v>0</v>
      </c>
      <c r="Q94" s="119"/>
      <c r="AE94" s="73" t="s">
        <v>17</v>
      </c>
    </row>
    <row r="95" spans="1:43" outlineLevel="1" x14ac:dyDescent="0.35">
      <c r="A95" t="s">
        <v>12</v>
      </c>
      <c r="B95" t="s">
        <v>244</v>
      </c>
      <c r="C95" t="s">
        <v>88</v>
      </c>
      <c r="D95" s="44" t="s">
        <v>459</v>
      </c>
      <c r="E95">
        <f t="shared" si="58"/>
        <v>160</v>
      </c>
      <c r="F95">
        <f t="shared" si="76"/>
        <v>20</v>
      </c>
      <c r="G95">
        <f t="shared" si="77"/>
        <v>1</v>
      </c>
      <c r="H95" s="121">
        <v>1</v>
      </c>
      <c r="I95" s="137">
        <f t="shared" si="78"/>
        <v>8640</v>
      </c>
      <c r="J95" s="136"/>
      <c r="K95">
        <v>4</v>
      </c>
      <c r="L95" s="121">
        <f t="shared" si="80"/>
        <v>1</v>
      </c>
      <c r="M95" s="119">
        <f>COUNTIF(R95:T95,"-")*K95</f>
        <v>0</v>
      </c>
      <c r="N95" s="119">
        <f>COUNTIF(U95:AF95,"-")*$K95</f>
        <v>4</v>
      </c>
      <c r="O95" s="119">
        <f t="shared" si="81"/>
        <v>0</v>
      </c>
      <c r="P95" s="119">
        <f t="shared" si="82"/>
        <v>0</v>
      </c>
      <c r="Q95" s="119"/>
      <c r="AF95" s="70" t="s">
        <v>17</v>
      </c>
    </row>
    <row r="96" spans="1:43" x14ac:dyDescent="0.35">
      <c r="A96" t="s">
        <v>12</v>
      </c>
      <c r="C96" t="s">
        <v>88</v>
      </c>
      <c r="D96" s="44" t="s">
        <v>227</v>
      </c>
      <c r="E96">
        <f t="shared" si="58"/>
        <v>0</v>
      </c>
      <c r="F96" s="13">
        <f t="shared" si="76"/>
        <v>0</v>
      </c>
      <c r="G96" s="12">
        <f t="shared" si="77"/>
        <v>0</v>
      </c>
      <c r="H96" s="119">
        <v>1</v>
      </c>
      <c r="I96" s="111">
        <f t="shared" si="78"/>
        <v>0</v>
      </c>
      <c r="J96" s="169"/>
      <c r="K96" s="12">
        <f t="shared" ref="K96:P96" si="83">SUM(K97)</f>
        <v>1</v>
      </c>
      <c r="L96" s="12">
        <f t="shared" si="83"/>
        <v>26</v>
      </c>
      <c r="M96" s="12">
        <f t="shared" si="83"/>
        <v>3</v>
      </c>
      <c r="N96" s="12">
        <f t="shared" si="83"/>
        <v>12</v>
      </c>
      <c r="O96" s="12">
        <f t="shared" si="83"/>
        <v>11</v>
      </c>
      <c r="P96" s="12">
        <f t="shared" si="83"/>
        <v>0</v>
      </c>
      <c r="Q96" s="119"/>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row>
    <row r="97" spans="1:60" ht="14.15" customHeight="1" outlineLevel="1" x14ac:dyDescent="0.35">
      <c r="A97" t="s">
        <v>12</v>
      </c>
      <c r="B97" t="s">
        <v>284</v>
      </c>
      <c r="C97" t="s">
        <v>88</v>
      </c>
      <c r="D97" s="44" t="s">
        <v>279</v>
      </c>
      <c r="E97">
        <f t="shared" si="58"/>
        <v>4160</v>
      </c>
      <c r="F97">
        <f t="shared" si="76"/>
        <v>520</v>
      </c>
      <c r="G97">
        <f t="shared" si="77"/>
        <v>26</v>
      </c>
      <c r="H97" s="121">
        <v>1</v>
      </c>
      <c r="I97" s="124">
        <f t="shared" si="78"/>
        <v>224640</v>
      </c>
      <c r="K97">
        <v>1</v>
      </c>
      <c r="L97" s="121">
        <f>COUNTIF(R97:BA97,"-")</f>
        <v>26</v>
      </c>
      <c r="M97" s="121">
        <f>COUNTIF(R97:T97,"-")*K97</f>
        <v>3</v>
      </c>
      <c r="N97" s="119">
        <f>COUNTIF(U97:AF97,"-")*$K97</f>
        <v>12</v>
      </c>
      <c r="O97" s="119">
        <f t="shared" si="81"/>
        <v>11</v>
      </c>
      <c r="P97" s="119">
        <f t="shared" si="82"/>
        <v>0</v>
      </c>
      <c r="Q97" s="119"/>
      <c r="R97" s="69" t="s">
        <v>17</v>
      </c>
      <c r="S97" s="69" t="s">
        <v>17</v>
      </c>
      <c r="T97" s="69" t="s">
        <v>17</v>
      </c>
      <c r="U97" s="69" t="s">
        <v>17</v>
      </c>
      <c r="V97" s="69" t="s">
        <v>17</v>
      </c>
      <c r="W97" s="69" t="s">
        <v>17</v>
      </c>
      <c r="X97" s="69" t="s">
        <v>17</v>
      </c>
      <c r="Y97" s="69" t="s">
        <v>17</v>
      </c>
      <c r="Z97" s="69" t="s">
        <v>17</v>
      </c>
      <c r="AA97" s="69" t="s">
        <v>17</v>
      </c>
      <c r="AB97" s="69" t="s">
        <v>17</v>
      </c>
      <c r="AC97" s="69" t="s">
        <v>17</v>
      </c>
      <c r="AD97" s="69" t="s">
        <v>17</v>
      </c>
      <c r="AE97" s="69" t="s">
        <v>17</v>
      </c>
      <c r="AF97" s="69" t="s">
        <v>17</v>
      </c>
      <c r="AG97" s="69" t="s">
        <v>17</v>
      </c>
      <c r="AH97" s="69" t="s">
        <v>17</v>
      </c>
      <c r="AI97" s="69" t="s">
        <v>17</v>
      </c>
      <c r="AJ97" s="69" t="s">
        <v>17</v>
      </c>
      <c r="AK97" s="69" t="s">
        <v>17</v>
      </c>
      <c r="AL97" s="69" t="s">
        <v>17</v>
      </c>
      <c r="AM97" s="69" t="s">
        <v>17</v>
      </c>
      <c r="AN97" s="69" t="s">
        <v>17</v>
      </c>
      <c r="AO97" s="69" t="s">
        <v>17</v>
      </c>
      <c r="AP97" s="69" t="s">
        <v>17</v>
      </c>
      <c r="AQ97" s="69" t="s">
        <v>17</v>
      </c>
    </row>
    <row r="98" spans="1:60" x14ac:dyDescent="0.35">
      <c r="A98" t="s">
        <v>12</v>
      </c>
      <c r="C98" t="s">
        <v>88</v>
      </c>
      <c r="D98" t="s">
        <v>278</v>
      </c>
      <c r="E98" s="77">
        <f t="shared" si="58"/>
        <v>0</v>
      </c>
      <c r="F98" s="13">
        <f t="shared" si="76"/>
        <v>0</v>
      </c>
      <c r="G98" s="111">
        <f t="shared" si="77"/>
        <v>0</v>
      </c>
      <c r="H98" s="111">
        <v>1</v>
      </c>
      <c r="I98" s="111">
        <f t="shared" si="78"/>
        <v>0</v>
      </c>
      <c r="J98" s="169" t="s">
        <v>471</v>
      </c>
      <c r="K98" s="111">
        <f>SUM(K99:K101)</f>
        <v>5</v>
      </c>
      <c r="L98" s="111">
        <f>SUM(L99:L101)</f>
        <v>5</v>
      </c>
      <c r="M98" s="111">
        <f t="shared" ref="M98:P98" si="84">SUM(M99:M101)</f>
        <v>0</v>
      </c>
      <c r="N98" s="111">
        <f t="shared" si="84"/>
        <v>1</v>
      </c>
      <c r="O98" s="111">
        <f t="shared" si="84"/>
        <v>8</v>
      </c>
      <c r="P98" s="111">
        <f t="shared" si="84"/>
        <v>0</v>
      </c>
      <c r="Q98" s="119"/>
      <c r="AB98" s="67"/>
      <c r="AC98" s="67"/>
      <c r="AD98" s="67"/>
      <c r="AE98" s="67"/>
      <c r="AF98" s="67"/>
      <c r="AG98" s="67"/>
      <c r="AH98" s="67"/>
      <c r="AI98" s="67"/>
      <c r="AJ98" s="67"/>
      <c r="AK98" s="67"/>
      <c r="AL98" s="67"/>
      <c r="AM98" s="67"/>
      <c r="AN98" s="67"/>
      <c r="AO98" s="67"/>
      <c r="AP98" s="67"/>
      <c r="AQ98" s="67"/>
    </row>
    <row r="99" spans="1:60" outlineLevel="1" x14ac:dyDescent="0.35">
      <c r="A99" t="s">
        <v>12</v>
      </c>
      <c r="C99" t="s">
        <v>88</v>
      </c>
      <c r="D99" t="s">
        <v>280</v>
      </c>
      <c r="E99">
        <f t="shared" si="58"/>
        <v>160</v>
      </c>
      <c r="F99">
        <f t="shared" si="76"/>
        <v>20</v>
      </c>
      <c r="G99" s="128">
        <f t="shared" si="77"/>
        <v>1</v>
      </c>
      <c r="H99" s="129">
        <v>1</v>
      </c>
      <c r="I99" s="128">
        <f t="shared" si="78"/>
        <v>8640</v>
      </c>
      <c r="J99" s="129"/>
      <c r="K99">
        <v>1</v>
      </c>
      <c r="L99" s="129">
        <f>COUNTIF(R99:BA99,"-")</f>
        <v>1</v>
      </c>
      <c r="M99" s="119">
        <f>COUNTIF(R99:T99,"-")*K99</f>
        <v>0</v>
      </c>
      <c r="N99" s="119">
        <f>COUNTIF(U99:AF99,"-")*$K99</f>
        <v>1</v>
      </c>
      <c r="O99" s="119">
        <f t="shared" si="81"/>
        <v>0</v>
      </c>
      <c r="P99" s="119">
        <f t="shared" si="82"/>
        <v>0</v>
      </c>
      <c r="Q99" s="119"/>
      <c r="AB99" s="68" t="s">
        <v>17</v>
      </c>
    </row>
    <row r="100" spans="1:60" outlineLevel="1" x14ac:dyDescent="0.35">
      <c r="A100" t="s">
        <v>12</v>
      </c>
      <c r="C100" t="s">
        <v>90</v>
      </c>
      <c r="D100" t="s">
        <v>198</v>
      </c>
      <c r="E100">
        <f t="shared" ref="E100:E129" si="85">G100*160</f>
        <v>480</v>
      </c>
      <c r="F100">
        <f t="shared" si="76"/>
        <v>60</v>
      </c>
      <c r="G100" s="128">
        <f t="shared" si="77"/>
        <v>3</v>
      </c>
      <c r="H100" s="129">
        <v>1</v>
      </c>
      <c r="I100" s="128">
        <f t="shared" si="78"/>
        <v>25920</v>
      </c>
      <c r="J100" s="129"/>
      <c r="K100">
        <v>2</v>
      </c>
      <c r="L100" s="129">
        <f>COUNTIF(R100:BA100,"-")</f>
        <v>3</v>
      </c>
      <c r="M100" s="119">
        <f>COUNTIF(R100:T100,"-")*K100</f>
        <v>0</v>
      </c>
      <c r="N100" s="119">
        <f>COUNTIF(U100:AF100,"-")*$K100</f>
        <v>0</v>
      </c>
      <c r="O100" s="119">
        <f t="shared" si="81"/>
        <v>6</v>
      </c>
      <c r="P100" s="119">
        <f t="shared" si="82"/>
        <v>0</v>
      </c>
      <c r="Q100" s="119"/>
      <c r="AM100" s="69" t="s">
        <v>17</v>
      </c>
      <c r="AN100" s="69" t="s">
        <v>17</v>
      </c>
      <c r="AO100" s="69" t="s">
        <v>17</v>
      </c>
    </row>
    <row r="101" spans="1:60" outlineLevel="1" x14ac:dyDescent="0.35">
      <c r="A101" t="s">
        <v>12</v>
      </c>
      <c r="C101" t="s">
        <v>90</v>
      </c>
      <c r="D101" t="s">
        <v>459</v>
      </c>
      <c r="E101">
        <f t="shared" si="85"/>
        <v>160</v>
      </c>
      <c r="F101" s="65">
        <f t="shared" si="76"/>
        <v>20</v>
      </c>
      <c r="G101" s="128">
        <f t="shared" si="77"/>
        <v>1</v>
      </c>
      <c r="H101" s="129">
        <v>1</v>
      </c>
      <c r="I101" s="128">
        <f t="shared" si="78"/>
        <v>8640</v>
      </c>
      <c r="J101" s="129"/>
      <c r="K101">
        <v>2</v>
      </c>
      <c r="L101" s="129">
        <f>COUNTIF(R101:BA101,"-")</f>
        <v>1</v>
      </c>
      <c r="M101" s="119">
        <f>COUNTIF(R101:T101,"-")*K101</f>
        <v>0</v>
      </c>
      <c r="N101" s="119">
        <f>COUNTIF(U101:AF101,"-")*$K101</f>
        <v>0</v>
      </c>
      <c r="O101" s="119">
        <f t="shared" si="81"/>
        <v>2</v>
      </c>
      <c r="P101" s="119">
        <f t="shared" si="82"/>
        <v>0</v>
      </c>
      <c r="Q101" s="119"/>
      <c r="AP101" s="70" t="s">
        <v>17</v>
      </c>
    </row>
    <row r="102" spans="1:60" x14ac:dyDescent="0.35">
      <c r="A102" t="s">
        <v>12</v>
      </c>
      <c r="C102" t="s">
        <v>90</v>
      </c>
      <c r="D102" t="s">
        <v>227</v>
      </c>
      <c r="E102">
        <f t="shared" si="85"/>
        <v>0</v>
      </c>
      <c r="F102" s="75">
        <f t="shared" si="76"/>
        <v>0</v>
      </c>
      <c r="G102" s="111">
        <f t="shared" si="77"/>
        <v>0</v>
      </c>
      <c r="H102" s="111">
        <v>1</v>
      </c>
      <c r="I102" s="111">
        <f t="shared" si="78"/>
        <v>0</v>
      </c>
      <c r="J102" s="169" t="s">
        <v>471</v>
      </c>
      <c r="K102" s="111">
        <f t="shared" ref="K102:P102" si="86">SUM(K103:K106)</f>
        <v>5</v>
      </c>
      <c r="L102" s="111">
        <f t="shared" si="86"/>
        <v>4</v>
      </c>
      <c r="M102" s="111">
        <f t="shared" si="86"/>
        <v>0</v>
      </c>
      <c r="N102" s="111">
        <f t="shared" si="86"/>
        <v>1</v>
      </c>
      <c r="O102" s="111">
        <f t="shared" si="86"/>
        <v>4</v>
      </c>
      <c r="P102" s="111">
        <f t="shared" si="86"/>
        <v>0</v>
      </c>
      <c r="Q102" s="119"/>
      <c r="AB102" s="67"/>
      <c r="AC102" s="67"/>
      <c r="AD102" s="67"/>
      <c r="AE102" s="67"/>
      <c r="AF102" s="67"/>
      <c r="AG102" s="67"/>
      <c r="AH102" s="67"/>
      <c r="AI102" s="67"/>
      <c r="AJ102" s="67"/>
      <c r="AK102" s="67"/>
      <c r="AL102" s="67"/>
      <c r="AM102" s="67"/>
      <c r="AN102" s="67"/>
      <c r="AO102" s="67"/>
      <c r="AP102" s="67"/>
    </row>
    <row r="103" spans="1:60" outlineLevel="1" x14ac:dyDescent="0.35">
      <c r="A103" t="s">
        <v>12</v>
      </c>
      <c r="B103" t="s">
        <v>360</v>
      </c>
      <c r="C103" t="s">
        <v>90</v>
      </c>
      <c r="D103" t="s">
        <v>279</v>
      </c>
      <c r="E103">
        <f t="shared" si="85"/>
        <v>160</v>
      </c>
      <c r="F103">
        <f t="shared" si="76"/>
        <v>20</v>
      </c>
      <c r="G103" s="128">
        <f t="shared" si="77"/>
        <v>1</v>
      </c>
      <c r="H103" s="129">
        <v>1</v>
      </c>
      <c r="I103" s="128">
        <f t="shared" si="78"/>
        <v>8640</v>
      </c>
      <c r="J103" s="129"/>
      <c r="K103">
        <v>1</v>
      </c>
      <c r="L103" s="129">
        <f t="shared" ref="L103:L106" si="87">COUNTIF(R103:BA103,"-")</f>
        <v>1</v>
      </c>
      <c r="M103" s="119">
        <f>COUNTIF(R103:T103,"-")*K103</f>
        <v>0</v>
      </c>
      <c r="N103" s="119">
        <f>COUNTIF(U103:AF103,"-")*$K103</f>
        <v>1</v>
      </c>
      <c r="O103" s="119">
        <f t="shared" si="81"/>
        <v>0</v>
      </c>
      <c r="P103" s="119">
        <f t="shared" si="82"/>
        <v>0</v>
      </c>
      <c r="Q103" s="119"/>
      <c r="AB103" s="68" t="s">
        <v>17</v>
      </c>
    </row>
    <row r="104" spans="1:60" outlineLevel="1" x14ac:dyDescent="0.35">
      <c r="A104" t="s">
        <v>12</v>
      </c>
      <c r="B104" t="s">
        <v>364</v>
      </c>
      <c r="C104" t="s">
        <v>90</v>
      </c>
      <c r="D104" t="s">
        <v>278</v>
      </c>
      <c r="E104">
        <f t="shared" si="85"/>
        <v>160</v>
      </c>
      <c r="F104">
        <f t="shared" si="76"/>
        <v>20</v>
      </c>
      <c r="G104" s="128">
        <f t="shared" si="77"/>
        <v>1</v>
      </c>
      <c r="H104" s="129">
        <v>1</v>
      </c>
      <c r="I104" s="128">
        <f t="shared" si="78"/>
        <v>8640</v>
      </c>
      <c r="J104" s="129"/>
      <c r="K104">
        <v>1</v>
      </c>
      <c r="L104" s="129">
        <f t="shared" si="87"/>
        <v>1</v>
      </c>
      <c r="M104" s="119">
        <f>COUNTIF(R104:T104,"-")*K104</f>
        <v>0</v>
      </c>
      <c r="N104" s="119">
        <f>COUNTIF(U104:AF104,"-")*$K104</f>
        <v>0</v>
      </c>
      <c r="O104" s="119">
        <f t="shared" si="81"/>
        <v>1</v>
      </c>
      <c r="P104" s="119">
        <f t="shared" si="82"/>
        <v>0</v>
      </c>
      <c r="Q104" s="119"/>
      <c r="AK104" s="69" t="s">
        <v>17</v>
      </c>
    </row>
    <row r="105" spans="1:60" outlineLevel="1" x14ac:dyDescent="0.35">
      <c r="A105" t="s">
        <v>12</v>
      </c>
      <c r="B105" t="s">
        <v>364</v>
      </c>
      <c r="C105" t="s">
        <v>90</v>
      </c>
      <c r="D105" t="s">
        <v>280</v>
      </c>
      <c r="E105">
        <f t="shared" si="85"/>
        <v>160</v>
      </c>
      <c r="F105" s="65">
        <f t="shared" si="76"/>
        <v>20</v>
      </c>
      <c r="G105" s="128">
        <f t="shared" si="77"/>
        <v>1</v>
      </c>
      <c r="H105" s="129">
        <v>1</v>
      </c>
      <c r="I105" s="128">
        <f t="shared" si="78"/>
        <v>8640</v>
      </c>
      <c r="J105" s="129"/>
      <c r="K105">
        <v>1</v>
      </c>
      <c r="L105" s="129">
        <v>1</v>
      </c>
      <c r="M105" s="119">
        <f>COUNTIF(R105:T105,"-")*K105</f>
        <v>0</v>
      </c>
      <c r="N105" s="119">
        <f>COUNTIF(U105:AF105,"-")*$K105</f>
        <v>0</v>
      </c>
      <c r="O105" s="119">
        <f t="shared" si="81"/>
        <v>1</v>
      </c>
      <c r="P105" s="119">
        <f t="shared" si="82"/>
        <v>0</v>
      </c>
      <c r="Q105" s="119"/>
      <c r="AL105" s="69" t="s">
        <v>17</v>
      </c>
    </row>
    <row r="106" spans="1:60" outlineLevel="1" x14ac:dyDescent="0.35">
      <c r="A106" t="s">
        <v>12</v>
      </c>
      <c r="B106" t="s">
        <v>244</v>
      </c>
      <c r="C106" t="s">
        <v>116</v>
      </c>
      <c r="D106" t="s">
        <v>198</v>
      </c>
      <c r="E106">
        <f t="shared" si="85"/>
        <v>160</v>
      </c>
      <c r="F106" s="65">
        <f t="shared" si="76"/>
        <v>20</v>
      </c>
      <c r="G106" s="128">
        <f t="shared" si="77"/>
        <v>1</v>
      </c>
      <c r="H106" s="129">
        <v>1</v>
      </c>
      <c r="I106" s="128">
        <f t="shared" si="78"/>
        <v>8640</v>
      </c>
      <c r="J106" s="129"/>
      <c r="K106">
        <v>2</v>
      </c>
      <c r="L106" s="129">
        <f t="shared" si="87"/>
        <v>1</v>
      </c>
      <c r="M106" s="119">
        <f>COUNTIF(R106:T106,"-")*K106</f>
        <v>0</v>
      </c>
      <c r="N106" s="119">
        <f>COUNTIF(U106:AF106,"-")*$K106</f>
        <v>0</v>
      </c>
      <c r="O106" s="119">
        <f t="shared" si="81"/>
        <v>2</v>
      </c>
      <c r="P106" s="119">
        <f t="shared" si="82"/>
        <v>0</v>
      </c>
      <c r="Q106" s="119"/>
      <c r="AM106" s="70" t="s">
        <v>17</v>
      </c>
    </row>
    <row r="107" spans="1:60" outlineLevel="1" x14ac:dyDescent="0.35">
      <c r="A107" t="s">
        <v>12</v>
      </c>
      <c r="C107" t="s">
        <v>116</v>
      </c>
      <c r="D107" t="s">
        <v>459</v>
      </c>
      <c r="E107">
        <f t="shared" si="85"/>
        <v>0</v>
      </c>
      <c r="F107" s="75">
        <f t="shared" si="76"/>
        <v>0</v>
      </c>
      <c r="G107" s="128">
        <f t="shared" si="77"/>
        <v>0</v>
      </c>
      <c r="H107" s="129">
        <v>1</v>
      </c>
      <c r="I107" s="111">
        <f t="shared" si="78"/>
        <v>0</v>
      </c>
      <c r="J107" s="129">
        <f>SUM(J108:J110)</f>
        <v>0</v>
      </c>
      <c r="K107" s="129">
        <f>SUM(K108:K110)</f>
        <v>20</v>
      </c>
      <c r="L107" s="129">
        <f>SUM(L108:L110)</f>
        <v>14</v>
      </c>
      <c r="M107" s="129">
        <f t="shared" ref="M107:P107" si="88">SUM(M108:M110)</f>
        <v>0</v>
      </c>
      <c r="N107" s="129">
        <f t="shared" si="88"/>
        <v>0</v>
      </c>
      <c r="O107" s="129">
        <f t="shared" si="88"/>
        <v>0</v>
      </c>
      <c r="P107" s="129">
        <f t="shared" si="88"/>
        <v>70.5</v>
      </c>
      <c r="Q107" s="119"/>
      <c r="AU107" s="67"/>
      <c r="AV107" s="67"/>
      <c r="AW107" s="67"/>
      <c r="AX107" s="67"/>
      <c r="AY107" s="67"/>
      <c r="AZ107" s="67"/>
      <c r="BA107" s="67"/>
      <c r="BB107" s="67"/>
      <c r="BC107" s="67"/>
      <c r="BD107" s="67"/>
      <c r="BE107" s="67"/>
      <c r="BF107" s="67"/>
      <c r="BG107" s="67"/>
      <c r="BH107" s="67"/>
    </row>
    <row r="108" spans="1:60" outlineLevel="1" x14ac:dyDescent="0.35">
      <c r="A108" t="s">
        <v>12</v>
      </c>
      <c r="C108" t="s">
        <v>116</v>
      </c>
      <c r="D108" t="s">
        <v>227</v>
      </c>
      <c r="E108">
        <f t="shared" si="85"/>
        <v>0</v>
      </c>
      <c r="F108" s="65">
        <f t="shared" si="76"/>
        <v>0</v>
      </c>
      <c r="G108" s="128">
        <f t="shared" si="77"/>
        <v>0</v>
      </c>
      <c r="H108" s="129">
        <v>1</v>
      </c>
      <c r="I108" s="129">
        <f t="shared" si="78"/>
        <v>0</v>
      </c>
      <c r="J108" s="129"/>
      <c r="K108" s="66">
        <v>9</v>
      </c>
      <c r="L108" s="129">
        <f>COUNTIF(R108:BH108,"-")</f>
        <v>3</v>
      </c>
      <c r="M108" s="119">
        <f>COUNTIF(R108:T108,"-")*K108</f>
        <v>0</v>
      </c>
      <c r="N108" s="119">
        <f>COUNTIF(U108:AF108,"-")*$K108</f>
        <v>0</v>
      </c>
      <c r="O108" s="119">
        <f t="shared" si="81"/>
        <v>0</v>
      </c>
      <c r="P108" s="119">
        <f t="shared" si="82"/>
        <v>27</v>
      </c>
      <c r="Q108" s="119"/>
      <c r="AU108" s="177" t="s">
        <v>17</v>
      </c>
      <c r="AV108" s="177" t="s">
        <v>17</v>
      </c>
      <c r="AW108" s="177" t="s">
        <v>17</v>
      </c>
    </row>
    <row r="109" spans="1:60" outlineLevel="1" x14ac:dyDescent="0.35">
      <c r="A109" t="s">
        <v>12</v>
      </c>
      <c r="C109" t="s">
        <v>116</v>
      </c>
      <c r="D109" t="s">
        <v>279</v>
      </c>
      <c r="E109">
        <f t="shared" si="85"/>
        <v>0</v>
      </c>
      <c r="F109" s="65">
        <f t="shared" si="76"/>
        <v>0</v>
      </c>
      <c r="G109" s="128">
        <f t="shared" si="77"/>
        <v>0</v>
      </c>
      <c r="H109" s="129">
        <v>1</v>
      </c>
      <c r="I109" s="129">
        <f t="shared" si="78"/>
        <v>0</v>
      </c>
      <c r="J109" s="129"/>
      <c r="K109" s="66">
        <v>6.5</v>
      </c>
      <c r="L109" s="129">
        <f t="shared" ref="L109:L110" si="89">COUNTIF(R109:BH109,"-")</f>
        <v>6</v>
      </c>
      <c r="M109" s="119">
        <f>COUNTIF(R109:T109,"-")*K109</f>
        <v>0</v>
      </c>
      <c r="N109" s="119">
        <f>COUNTIF(U109:AF109,"-")*$K109</f>
        <v>0</v>
      </c>
      <c r="O109" s="119">
        <f t="shared" si="81"/>
        <v>0</v>
      </c>
      <c r="P109" s="119">
        <f t="shared" si="82"/>
        <v>39</v>
      </c>
      <c r="Q109" s="119"/>
      <c r="AX109" s="177" t="s">
        <v>17</v>
      </c>
      <c r="AY109" s="177" t="s">
        <v>17</v>
      </c>
      <c r="AZ109" s="177" t="s">
        <v>17</v>
      </c>
      <c r="BA109" s="177" t="s">
        <v>17</v>
      </c>
      <c r="BB109" s="177" t="s">
        <v>17</v>
      </c>
      <c r="BC109" s="177" t="s">
        <v>17</v>
      </c>
    </row>
    <row r="110" spans="1:60" outlineLevel="1" x14ac:dyDescent="0.35">
      <c r="A110" t="s">
        <v>12</v>
      </c>
      <c r="C110" t="s">
        <v>116</v>
      </c>
      <c r="D110" t="s">
        <v>278</v>
      </c>
      <c r="E110">
        <f t="shared" si="85"/>
        <v>0</v>
      </c>
      <c r="F110" s="65">
        <f t="shared" si="76"/>
        <v>0</v>
      </c>
      <c r="G110" s="128">
        <f t="shared" si="77"/>
        <v>0</v>
      </c>
      <c r="H110" s="129">
        <v>1</v>
      </c>
      <c r="I110" s="129">
        <f t="shared" si="78"/>
        <v>0</v>
      </c>
      <c r="J110" s="129"/>
      <c r="K110" s="66">
        <v>4.5</v>
      </c>
      <c r="L110" s="129">
        <f t="shared" si="89"/>
        <v>5</v>
      </c>
      <c r="M110" s="119">
        <f>COUNTIF(R110:T110,"-")*K110</f>
        <v>0</v>
      </c>
      <c r="N110" s="119">
        <f>COUNTIF(U110:AF110,"-")*$K110</f>
        <v>0</v>
      </c>
      <c r="O110" s="119">
        <f t="shared" si="81"/>
        <v>0</v>
      </c>
      <c r="P110" s="119">
        <f t="shared" si="82"/>
        <v>4.5</v>
      </c>
      <c r="Q110" s="119"/>
      <c r="BD110" s="177" t="s">
        <v>17</v>
      </c>
      <c r="BE110" s="177" t="s">
        <v>17</v>
      </c>
      <c r="BF110" s="177" t="s">
        <v>17</v>
      </c>
      <c r="BG110" s="177" t="s">
        <v>17</v>
      </c>
      <c r="BH110" s="177" t="s">
        <v>17</v>
      </c>
    </row>
    <row r="111" spans="1:60" outlineLevel="1" x14ac:dyDescent="0.35">
      <c r="A111" t="s">
        <v>12</v>
      </c>
      <c r="C111" t="s">
        <v>116</v>
      </c>
      <c r="D111" t="s">
        <v>280</v>
      </c>
      <c r="E111">
        <f t="shared" si="85"/>
        <v>0</v>
      </c>
      <c r="F111" s="178">
        <f t="shared" si="76"/>
        <v>0</v>
      </c>
      <c r="G111" s="128">
        <f t="shared" si="77"/>
        <v>0</v>
      </c>
      <c r="H111" s="129">
        <v>1</v>
      </c>
      <c r="I111" s="129">
        <f t="shared" si="78"/>
        <v>0</v>
      </c>
      <c r="J111" s="129"/>
      <c r="K111" s="129"/>
      <c r="L111" s="129"/>
      <c r="M111" s="119"/>
      <c r="N111" s="119"/>
      <c r="O111" s="119"/>
      <c r="P111" s="119"/>
      <c r="Q111" s="119"/>
    </row>
    <row r="112" spans="1:60" outlineLevel="1" x14ac:dyDescent="0.35">
      <c r="A112" t="s">
        <v>12</v>
      </c>
      <c r="C112" t="s">
        <v>123</v>
      </c>
      <c r="D112" t="s">
        <v>198</v>
      </c>
      <c r="E112">
        <f t="shared" si="85"/>
        <v>0</v>
      </c>
      <c r="F112" s="65">
        <f t="shared" si="76"/>
        <v>0</v>
      </c>
      <c r="G112" s="128">
        <f t="shared" si="77"/>
        <v>0</v>
      </c>
      <c r="H112" s="129">
        <v>1</v>
      </c>
      <c r="I112" s="129">
        <f t="shared" si="78"/>
        <v>0</v>
      </c>
      <c r="J112" s="129"/>
      <c r="K112" s="179"/>
      <c r="L112" s="180"/>
      <c r="M112" s="180"/>
      <c r="N112" s="180"/>
      <c r="O112" s="180"/>
      <c r="P112" s="180"/>
      <c r="Q112" s="180"/>
      <c r="Z112" s="181"/>
      <c r="AA112" s="181"/>
      <c r="AB112" s="181"/>
      <c r="AC112" s="181"/>
      <c r="AK112" s="181"/>
      <c r="AL112" s="181"/>
      <c r="AM112" s="181"/>
      <c r="AN112" s="181"/>
      <c r="AO112" s="181"/>
      <c r="AP112" s="181"/>
    </row>
    <row r="113" spans="1:68" x14ac:dyDescent="0.35">
      <c r="A113" t="s">
        <v>12</v>
      </c>
      <c r="C113" t="s">
        <v>123</v>
      </c>
      <c r="D113" t="s">
        <v>459</v>
      </c>
      <c r="E113">
        <f t="shared" ca="1" si="85"/>
        <v>13655360</v>
      </c>
      <c r="F113">
        <f t="shared" ca="1" si="76"/>
        <v>1706920</v>
      </c>
      <c r="G113" s="127">
        <f t="shared" ca="1" si="77"/>
        <v>0</v>
      </c>
      <c r="H113" s="127">
        <v>1</v>
      </c>
      <c r="I113" s="127">
        <f t="shared" ca="1" si="78"/>
        <v>0</v>
      </c>
      <c r="J113" s="127"/>
      <c r="K113" s="127"/>
      <c r="L113" s="127"/>
      <c r="M113" s="132">
        <f ca="1">SUM(M5:M7,M8,M21,M27,M33,M36,M43,M46,M51,M57,M62,M70,M93,M96,M98,M102,107)*22*8/G113</f>
        <v>0.29901811449862908</v>
      </c>
      <c r="N113" s="132">
        <f ca="1">SUM(N5:N7,N8,N21,N27,N33,N36,N43,N46,N51,N57,N62,N70,N93,N96,N98,N102,107)*22*8/G113</f>
        <v>0.67433740304173595</v>
      </c>
      <c r="O113" s="132">
        <f ca="1">SUM(O5:O7,O8,O21,O27,O33,O36,O43,O46,O51,O57,O62,O70,O93,O96,O98,O102,O107)*22*8/G113</f>
        <v>0.28148946640733014</v>
      </c>
      <c r="P113" s="132">
        <f ca="1">SUM(P5:P7,P8,P21,P27,P33,P36,P43,P46,P51,P57,P62,P70,P93,P96,P98,P102,P107)*22*8/G113</f>
        <v>0.17322428701989548</v>
      </c>
      <c r="Q113" s="127"/>
    </row>
    <row r="114" spans="1:68" outlineLevel="1" x14ac:dyDescent="0.35">
      <c r="A114" t="s">
        <v>12</v>
      </c>
      <c r="C114" t="s">
        <v>123</v>
      </c>
      <c r="D114" t="s">
        <v>227</v>
      </c>
      <c r="E114">
        <f t="shared" si="85"/>
        <v>0</v>
      </c>
      <c r="F114">
        <f t="shared" si="76"/>
        <v>0</v>
      </c>
      <c r="G114" s="127">
        <f t="shared" si="77"/>
        <v>0</v>
      </c>
      <c r="H114" s="127">
        <v>1</v>
      </c>
      <c r="I114" s="127">
        <f t="shared" si="78"/>
        <v>0</v>
      </c>
      <c r="J114" s="127"/>
      <c r="K114" s="127"/>
      <c r="L114" s="127"/>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37"/>
      <c r="AS114" s="137"/>
      <c r="AT114" s="137"/>
      <c r="AU114" s="137"/>
      <c r="AV114" s="137"/>
      <c r="AW114" s="137"/>
      <c r="AX114" s="137"/>
      <c r="AY114" s="137"/>
      <c r="AZ114" s="137"/>
      <c r="BA114" s="137"/>
      <c r="BB114" s="137"/>
      <c r="BC114" s="137"/>
      <c r="BD114" s="137"/>
      <c r="BE114" s="137"/>
      <c r="BF114" s="137"/>
      <c r="BG114" s="137"/>
      <c r="BH114" s="137"/>
      <c r="BI114" s="137"/>
      <c r="BJ114" s="137"/>
      <c r="BK114" s="137"/>
      <c r="BL114" s="137"/>
      <c r="BM114" s="137"/>
      <c r="BN114" s="137"/>
      <c r="BO114" s="137"/>
      <c r="BP114" s="137"/>
    </row>
    <row r="115" spans="1:68" outlineLevel="1" x14ac:dyDescent="0.35">
      <c r="A115" t="s">
        <v>12</v>
      </c>
      <c r="C115" t="s">
        <v>123</v>
      </c>
      <c r="D115" t="s">
        <v>279</v>
      </c>
      <c r="E115">
        <f t="shared" si="85"/>
        <v>0</v>
      </c>
      <c r="F115">
        <f t="shared" si="76"/>
        <v>0</v>
      </c>
      <c r="G115" s="127">
        <f t="shared" si="77"/>
        <v>0</v>
      </c>
      <c r="H115" s="127">
        <v>1</v>
      </c>
      <c r="I115" s="127">
        <f t="shared" si="78"/>
        <v>0</v>
      </c>
      <c r="J115" s="127"/>
      <c r="K115" s="127"/>
      <c r="L115" s="127"/>
      <c r="M115" s="132"/>
      <c r="N115" s="132"/>
      <c r="O115" s="132"/>
      <c r="P115" s="132"/>
      <c r="Q115" s="127">
        <f t="shared" ref="Q115:Q121" si="90">SUM(R115:AQ115)</f>
        <v>247104</v>
      </c>
      <c r="R115" s="137">
        <f t="shared" ref="R115:BP115" si="91">SUMIF(R5:R5,"-",$K$5:$K$5)*176*54</f>
        <v>9504</v>
      </c>
      <c r="S115" s="137">
        <f t="shared" si="91"/>
        <v>9504</v>
      </c>
      <c r="T115" s="137">
        <f t="shared" si="91"/>
        <v>9504</v>
      </c>
      <c r="U115" s="137">
        <f t="shared" si="91"/>
        <v>9504</v>
      </c>
      <c r="V115" s="137">
        <f t="shared" si="91"/>
        <v>9504</v>
      </c>
      <c r="W115" s="137">
        <f t="shared" si="91"/>
        <v>9504</v>
      </c>
      <c r="X115" s="137">
        <f t="shared" si="91"/>
        <v>9504</v>
      </c>
      <c r="Y115" s="137">
        <f t="shared" si="91"/>
        <v>9504</v>
      </c>
      <c r="Z115" s="137">
        <f t="shared" si="91"/>
        <v>9504</v>
      </c>
      <c r="AA115" s="137">
        <f t="shared" si="91"/>
        <v>9504</v>
      </c>
      <c r="AB115" s="137">
        <f t="shared" si="91"/>
        <v>9504</v>
      </c>
      <c r="AC115" s="137">
        <f t="shared" si="91"/>
        <v>9504</v>
      </c>
      <c r="AD115" s="137">
        <f t="shared" si="91"/>
        <v>9504</v>
      </c>
      <c r="AE115" s="137">
        <f t="shared" si="91"/>
        <v>9504</v>
      </c>
      <c r="AF115" s="137">
        <f t="shared" si="91"/>
        <v>9504</v>
      </c>
      <c r="AG115" s="137">
        <f t="shared" si="91"/>
        <v>9504</v>
      </c>
      <c r="AH115" s="137">
        <f t="shared" si="91"/>
        <v>9504</v>
      </c>
      <c r="AI115" s="137">
        <f t="shared" si="91"/>
        <v>9504</v>
      </c>
      <c r="AJ115" s="137">
        <f t="shared" si="91"/>
        <v>9504</v>
      </c>
      <c r="AK115" s="137">
        <f t="shared" si="91"/>
        <v>9504</v>
      </c>
      <c r="AL115" s="137">
        <f t="shared" si="91"/>
        <v>9504</v>
      </c>
      <c r="AM115" s="137">
        <f t="shared" si="91"/>
        <v>9504</v>
      </c>
      <c r="AN115" s="137">
        <f t="shared" si="91"/>
        <v>9504</v>
      </c>
      <c r="AO115" s="137">
        <f t="shared" si="91"/>
        <v>9504</v>
      </c>
      <c r="AP115" s="137">
        <f t="shared" si="91"/>
        <v>9504</v>
      </c>
      <c r="AQ115" s="137">
        <f t="shared" si="91"/>
        <v>9504</v>
      </c>
      <c r="AR115" s="137">
        <f t="shared" si="91"/>
        <v>0</v>
      </c>
      <c r="AS115" s="137">
        <f t="shared" si="91"/>
        <v>0</v>
      </c>
      <c r="AT115" s="137">
        <f t="shared" si="91"/>
        <v>0</v>
      </c>
      <c r="AU115" s="137">
        <f t="shared" si="91"/>
        <v>0</v>
      </c>
      <c r="AV115" s="137">
        <f t="shared" si="91"/>
        <v>0</v>
      </c>
      <c r="AW115" s="137">
        <f t="shared" si="91"/>
        <v>0</v>
      </c>
      <c r="AX115" s="137">
        <f t="shared" si="91"/>
        <v>0</v>
      </c>
      <c r="AY115" s="137">
        <f t="shared" si="91"/>
        <v>0</v>
      </c>
      <c r="AZ115" s="137">
        <f t="shared" si="91"/>
        <v>0</v>
      </c>
      <c r="BA115" s="137">
        <f t="shared" si="91"/>
        <v>0</v>
      </c>
      <c r="BB115" s="137">
        <f t="shared" si="91"/>
        <v>0</v>
      </c>
      <c r="BC115" s="137">
        <f t="shared" si="91"/>
        <v>0</v>
      </c>
      <c r="BD115" s="137">
        <f t="shared" si="91"/>
        <v>0</v>
      </c>
      <c r="BE115" s="137">
        <f t="shared" si="91"/>
        <v>0</v>
      </c>
      <c r="BF115" s="137">
        <f t="shared" si="91"/>
        <v>0</v>
      </c>
      <c r="BG115" s="137">
        <f t="shared" si="91"/>
        <v>0</v>
      </c>
      <c r="BH115" s="137">
        <f t="shared" si="91"/>
        <v>0</v>
      </c>
      <c r="BI115" s="137">
        <f t="shared" si="91"/>
        <v>0</v>
      </c>
      <c r="BJ115" s="137">
        <f t="shared" si="91"/>
        <v>0</v>
      </c>
      <c r="BK115" s="137">
        <f t="shared" si="91"/>
        <v>0</v>
      </c>
      <c r="BL115" s="137">
        <f t="shared" si="91"/>
        <v>0</v>
      </c>
      <c r="BM115" s="137">
        <f t="shared" si="91"/>
        <v>0</v>
      </c>
      <c r="BN115" s="137">
        <f t="shared" si="91"/>
        <v>0</v>
      </c>
      <c r="BO115" s="137">
        <f t="shared" si="91"/>
        <v>0</v>
      </c>
      <c r="BP115" s="137">
        <f t="shared" si="91"/>
        <v>0</v>
      </c>
    </row>
    <row r="116" spans="1:68" outlineLevel="1" x14ac:dyDescent="0.35">
      <c r="A116" t="s">
        <v>12</v>
      </c>
      <c r="C116" t="s">
        <v>123</v>
      </c>
      <c r="D116" t="s">
        <v>278</v>
      </c>
      <c r="E116">
        <f t="shared" si="85"/>
        <v>0</v>
      </c>
      <c r="F116">
        <f t="shared" si="76"/>
        <v>0</v>
      </c>
      <c r="G116" s="127">
        <f t="shared" si="77"/>
        <v>0</v>
      </c>
      <c r="H116" s="127">
        <v>1</v>
      </c>
      <c r="I116" s="127">
        <f t="shared" si="78"/>
        <v>0</v>
      </c>
      <c r="J116" s="127"/>
      <c r="K116" s="127"/>
      <c r="L116" s="127"/>
      <c r="M116" s="132"/>
      <c r="N116" s="132"/>
      <c r="O116" s="132"/>
      <c r="P116" s="132"/>
      <c r="Q116" s="127">
        <f t="shared" si="90"/>
        <v>247104</v>
      </c>
      <c r="R116" s="137">
        <f t="shared" ref="R116:BP116" si="92">SUMIF(R6:R6,"-",$K$6:$K$6)*176*54</f>
        <v>9504</v>
      </c>
      <c r="S116" s="137">
        <f t="shared" si="92"/>
        <v>9504</v>
      </c>
      <c r="T116" s="137">
        <f t="shared" si="92"/>
        <v>9504</v>
      </c>
      <c r="U116" s="137">
        <f t="shared" si="92"/>
        <v>9504</v>
      </c>
      <c r="V116" s="137">
        <f t="shared" si="92"/>
        <v>9504</v>
      </c>
      <c r="W116" s="137">
        <f t="shared" si="92"/>
        <v>9504</v>
      </c>
      <c r="X116" s="137">
        <f t="shared" si="92"/>
        <v>9504</v>
      </c>
      <c r="Y116" s="137">
        <f t="shared" si="92"/>
        <v>9504</v>
      </c>
      <c r="Z116" s="137">
        <f t="shared" si="92"/>
        <v>9504</v>
      </c>
      <c r="AA116" s="137">
        <f t="shared" si="92"/>
        <v>9504</v>
      </c>
      <c r="AB116" s="137">
        <f t="shared" si="92"/>
        <v>9504</v>
      </c>
      <c r="AC116" s="137">
        <f t="shared" si="92"/>
        <v>9504</v>
      </c>
      <c r="AD116" s="137">
        <f t="shared" si="92"/>
        <v>9504</v>
      </c>
      <c r="AE116" s="137">
        <f t="shared" si="92"/>
        <v>9504</v>
      </c>
      <c r="AF116" s="137">
        <f t="shared" si="92"/>
        <v>9504</v>
      </c>
      <c r="AG116" s="137">
        <f t="shared" si="92"/>
        <v>9504</v>
      </c>
      <c r="AH116" s="137">
        <f t="shared" si="92"/>
        <v>9504</v>
      </c>
      <c r="AI116" s="137">
        <f t="shared" si="92"/>
        <v>9504</v>
      </c>
      <c r="AJ116" s="137">
        <f t="shared" si="92"/>
        <v>9504</v>
      </c>
      <c r="AK116" s="137">
        <f t="shared" si="92"/>
        <v>9504</v>
      </c>
      <c r="AL116" s="137">
        <f t="shared" si="92"/>
        <v>9504</v>
      </c>
      <c r="AM116" s="137">
        <f t="shared" si="92"/>
        <v>9504</v>
      </c>
      <c r="AN116" s="137">
        <f t="shared" si="92"/>
        <v>9504</v>
      </c>
      <c r="AO116" s="137">
        <f t="shared" si="92"/>
        <v>9504</v>
      </c>
      <c r="AP116" s="137">
        <f t="shared" si="92"/>
        <v>9504</v>
      </c>
      <c r="AQ116" s="137">
        <f t="shared" si="92"/>
        <v>9504</v>
      </c>
      <c r="AR116" s="137">
        <f t="shared" si="92"/>
        <v>0</v>
      </c>
      <c r="AS116" s="137">
        <f t="shared" si="92"/>
        <v>0</v>
      </c>
      <c r="AT116" s="137">
        <f t="shared" si="92"/>
        <v>0</v>
      </c>
      <c r="AU116" s="137">
        <f t="shared" si="92"/>
        <v>0</v>
      </c>
      <c r="AV116" s="137">
        <f t="shared" si="92"/>
        <v>0</v>
      </c>
      <c r="AW116" s="137">
        <f t="shared" si="92"/>
        <v>0</v>
      </c>
      <c r="AX116" s="137">
        <f t="shared" si="92"/>
        <v>0</v>
      </c>
      <c r="AY116" s="137">
        <f t="shared" si="92"/>
        <v>0</v>
      </c>
      <c r="AZ116" s="137">
        <f t="shared" si="92"/>
        <v>0</v>
      </c>
      <c r="BA116" s="137">
        <f t="shared" si="92"/>
        <v>0</v>
      </c>
      <c r="BB116" s="137">
        <f t="shared" si="92"/>
        <v>0</v>
      </c>
      <c r="BC116" s="137">
        <f t="shared" si="92"/>
        <v>0</v>
      </c>
      <c r="BD116" s="137">
        <f t="shared" si="92"/>
        <v>0</v>
      </c>
      <c r="BE116" s="137">
        <f t="shared" si="92"/>
        <v>0</v>
      </c>
      <c r="BF116" s="137">
        <f t="shared" si="92"/>
        <v>0</v>
      </c>
      <c r="BG116" s="137">
        <f t="shared" si="92"/>
        <v>0</v>
      </c>
      <c r="BH116" s="137">
        <f t="shared" si="92"/>
        <v>0</v>
      </c>
      <c r="BI116" s="137">
        <f t="shared" si="92"/>
        <v>0</v>
      </c>
      <c r="BJ116" s="137">
        <f t="shared" si="92"/>
        <v>0</v>
      </c>
      <c r="BK116" s="137">
        <f t="shared" si="92"/>
        <v>0</v>
      </c>
      <c r="BL116" s="137">
        <f t="shared" si="92"/>
        <v>0</v>
      </c>
      <c r="BM116" s="137">
        <f t="shared" si="92"/>
        <v>0</v>
      </c>
      <c r="BN116" s="137">
        <f t="shared" si="92"/>
        <v>0</v>
      </c>
      <c r="BO116" s="137">
        <f t="shared" si="92"/>
        <v>0</v>
      </c>
      <c r="BP116" s="137">
        <f t="shared" si="92"/>
        <v>0</v>
      </c>
    </row>
    <row r="117" spans="1:68" outlineLevel="1" x14ac:dyDescent="0.35">
      <c r="A117" t="s">
        <v>12</v>
      </c>
      <c r="C117" t="s">
        <v>123</v>
      </c>
      <c r="D117" t="s">
        <v>280</v>
      </c>
      <c r="E117">
        <f t="shared" si="85"/>
        <v>0</v>
      </c>
      <c r="F117">
        <f t="shared" si="76"/>
        <v>0</v>
      </c>
      <c r="G117" s="124">
        <f t="shared" si="77"/>
        <v>0</v>
      </c>
      <c r="H117" s="121">
        <v>1</v>
      </c>
      <c r="I117" s="121">
        <f t="shared" si="78"/>
        <v>0</v>
      </c>
      <c r="Q117" s="127">
        <f t="shared" si="90"/>
        <v>247104</v>
      </c>
      <c r="R117" s="137">
        <f t="shared" ref="R117:BP117" si="93">SUMIF(R7:R7,"-",$K$7:$K$7)*176*54</f>
        <v>9504</v>
      </c>
      <c r="S117" s="137">
        <f t="shared" si="93"/>
        <v>9504</v>
      </c>
      <c r="T117" s="137">
        <f t="shared" si="93"/>
        <v>9504</v>
      </c>
      <c r="U117" s="137">
        <f t="shared" si="93"/>
        <v>9504</v>
      </c>
      <c r="V117" s="137">
        <f t="shared" si="93"/>
        <v>9504</v>
      </c>
      <c r="W117" s="137">
        <f t="shared" si="93"/>
        <v>9504</v>
      </c>
      <c r="X117" s="137">
        <f t="shared" si="93"/>
        <v>9504</v>
      </c>
      <c r="Y117" s="137">
        <f t="shared" si="93"/>
        <v>9504</v>
      </c>
      <c r="Z117" s="137">
        <f t="shared" si="93"/>
        <v>9504</v>
      </c>
      <c r="AA117" s="137">
        <f t="shared" si="93"/>
        <v>9504</v>
      </c>
      <c r="AB117" s="137">
        <f t="shared" si="93"/>
        <v>9504</v>
      </c>
      <c r="AC117" s="137">
        <f t="shared" si="93"/>
        <v>9504</v>
      </c>
      <c r="AD117" s="137">
        <f t="shared" si="93"/>
        <v>9504</v>
      </c>
      <c r="AE117" s="137">
        <f t="shared" si="93"/>
        <v>9504</v>
      </c>
      <c r="AF117" s="137">
        <f t="shared" si="93"/>
        <v>9504</v>
      </c>
      <c r="AG117" s="137">
        <f t="shared" si="93"/>
        <v>9504</v>
      </c>
      <c r="AH117" s="137">
        <f t="shared" si="93"/>
        <v>9504</v>
      </c>
      <c r="AI117" s="137">
        <f t="shared" si="93"/>
        <v>9504</v>
      </c>
      <c r="AJ117" s="137">
        <f t="shared" si="93"/>
        <v>9504</v>
      </c>
      <c r="AK117" s="137">
        <f t="shared" si="93"/>
        <v>9504</v>
      </c>
      <c r="AL117" s="137">
        <f t="shared" si="93"/>
        <v>9504</v>
      </c>
      <c r="AM117" s="137">
        <f t="shared" si="93"/>
        <v>9504</v>
      </c>
      <c r="AN117" s="137">
        <f t="shared" si="93"/>
        <v>9504</v>
      </c>
      <c r="AO117" s="137">
        <f t="shared" si="93"/>
        <v>9504</v>
      </c>
      <c r="AP117" s="137">
        <f t="shared" si="93"/>
        <v>9504</v>
      </c>
      <c r="AQ117" s="137">
        <f t="shared" si="93"/>
        <v>9504</v>
      </c>
      <c r="AR117" s="137">
        <f t="shared" si="93"/>
        <v>0</v>
      </c>
      <c r="AS117" s="137">
        <f t="shared" si="93"/>
        <v>0</v>
      </c>
      <c r="AT117" s="137">
        <f t="shared" si="93"/>
        <v>0</v>
      </c>
      <c r="AU117" s="137">
        <f t="shared" si="93"/>
        <v>0</v>
      </c>
      <c r="AV117" s="137">
        <f t="shared" si="93"/>
        <v>0</v>
      </c>
      <c r="AW117" s="137">
        <f t="shared" si="93"/>
        <v>0</v>
      </c>
      <c r="AX117" s="137">
        <f t="shared" si="93"/>
        <v>0</v>
      </c>
      <c r="AY117" s="137">
        <f t="shared" si="93"/>
        <v>0</v>
      </c>
      <c r="AZ117" s="137">
        <f t="shared" si="93"/>
        <v>0</v>
      </c>
      <c r="BA117" s="137">
        <f t="shared" si="93"/>
        <v>0</v>
      </c>
      <c r="BB117" s="137">
        <f t="shared" si="93"/>
        <v>0</v>
      </c>
      <c r="BC117" s="137">
        <f t="shared" si="93"/>
        <v>0</v>
      </c>
      <c r="BD117" s="137">
        <f t="shared" si="93"/>
        <v>0</v>
      </c>
      <c r="BE117" s="137">
        <f t="shared" si="93"/>
        <v>0</v>
      </c>
      <c r="BF117" s="137">
        <f t="shared" si="93"/>
        <v>0</v>
      </c>
      <c r="BG117" s="137">
        <f t="shared" si="93"/>
        <v>0</v>
      </c>
      <c r="BH117" s="137">
        <f t="shared" si="93"/>
        <v>0</v>
      </c>
      <c r="BI117" s="137">
        <f t="shared" si="93"/>
        <v>0</v>
      </c>
      <c r="BJ117" s="137">
        <f t="shared" si="93"/>
        <v>0</v>
      </c>
      <c r="BK117" s="137">
        <f t="shared" si="93"/>
        <v>0</v>
      </c>
      <c r="BL117" s="137">
        <f t="shared" si="93"/>
        <v>0</v>
      </c>
      <c r="BM117" s="137">
        <f t="shared" si="93"/>
        <v>0</v>
      </c>
      <c r="BN117" s="137">
        <f t="shared" si="93"/>
        <v>0</v>
      </c>
      <c r="BO117" s="137">
        <f t="shared" si="93"/>
        <v>0</v>
      </c>
      <c r="BP117" s="137">
        <f t="shared" si="93"/>
        <v>0</v>
      </c>
    </row>
    <row r="118" spans="1:68" outlineLevel="1" x14ac:dyDescent="0.35">
      <c r="A118" t="s">
        <v>12</v>
      </c>
      <c r="C118" t="s">
        <v>125</v>
      </c>
      <c r="D118" t="s">
        <v>198</v>
      </c>
      <c r="E118">
        <f t="shared" si="85"/>
        <v>0</v>
      </c>
      <c r="F118">
        <f t="shared" si="76"/>
        <v>0</v>
      </c>
      <c r="G118">
        <f t="shared" si="77"/>
        <v>0</v>
      </c>
      <c r="H118" s="121">
        <v>1</v>
      </c>
      <c r="I118" s="121">
        <f t="shared" si="78"/>
        <v>0</v>
      </c>
      <c r="Q118" s="182">
        <f t="shared" si="90"/>
        <v>369954</v>
      </c>
      <c r="R118" s="137">
        <f>((SUMIF(R9:R20,"-",$K$9:$K$20)*176)-52)*54</f>
        <v>16200</v>
      </c>
      <c r="S118" s="137">
        <f>((SUMIF(S9:S20,"-",$K$9:$K$20)*176)-52)*54</f>
        <v>16200</v>
      </c>
      <c r="T118" s="137">
        <f>((SUMIF(T9:T20,"-",$K$9:$K$20)*176)-52)*54</f>
        <v>16200</v>
      </c>
      <c r="U118" s="137">
        <f>((SUMIF(U9:U20,"-",$K$9:$K$20)*176)-33)*54</f>
        <v>26730</v>
      </c>
      <c r="V118" s="137">
        <f t="shared" ref="V118:BP118" si="94">SUMIF(V9:V20,"-",$K$9:$K$20)*176*54</f>
        <v>28512</v>
      </c>
      <c r="W118" s="137">
        <f t="shared" si="94"/>
        <v>28512</v>
      </c>
      <c r="X118" s="137">
        <f t="shared" si="94"/>
        <v>28512</v>
      </c>
      <c r="Y118" s="137">
        <f t="shared" si="94"/>
        <v>28512</v>
      </c>
      <c r="Z118" s="137">
        <f t="shared" si="94"/>
        <v>57024</v>
      </c>
      <c r="AA118" s="137">
        <f t="shared" si="94"/>
        <v>28512</v>
      </c>
      <c r="AB118" s="137">
        <f t="shared" si="94"/>
        <v>38016</v>
      </c>
      <c r="AC118" s="137">
        <f t="shared" si="94"/>
        <v>28512</v>
      </c>
      <c r="AD118" s="137">
        <f t="shared" si="94"/>
        <v>19008</v>
      </c>
      <c r="AE118" s="137">
        <f t="shared" si="94"/>
        <v>9504</v>
      </c>
      <c r="AF118" s="137">
        <f t="shared" si="94"/>
        <v>0</v>
      </c>
      <c r="AG118" s="137">
        <f t="shared" si="94"/>
        <v>0</v>
      </c>
      <c r="AH118" s="137">
        <f t="shared" si="94"/>
        <v>0</v>
      </c>
      <c r="AI118" s="137">
        <f t="shared" si="94"/>
        <v>0</v>
      </c>
      <c r="AJ118" s="137">
        <f t="shared" si="94"/>
        <v>0</v>
      </c>
      <c r="AK118" s="137">
        <f t="shared" si="94"/>
        <v>0</v>
      </c>
      <c r="AL118" s="137">
        <f t="shared" si="94"/>
        <v>0</v>
      </c>
      <c r="AM118" s="137">
        <f t="shared" si="94"/>
        <v>0</v>
      </c>
      <c r="AN118" s="137">
        <f t="shared" si="94"/>
        <v>0</v>
      </c>
      <c r="AO118" s="137">
        <f t="shared" si="94"/>
        <v>0</v>
      </c>
      <c r="AP118" s="137">
        <f t="shared" si="94"/>
        <v>0</v>
      </c>
      <c r="AQ118" s="137">
        <f t="shared" si="94"/>
        <v>0</v>
      </c>
      <c r="AR118" s="137">
        <f t="shared" si="94"/>
        <v>0</v>
      </c>
      <c r="AS118" s="137">
        <f t="shared" si="94"/>
        <v>0</v>
      </c>
      <c r="AT118" s="137">
        <f t="shared" si="94"/>
        <v>0</v>
      </c>
      <c r="AU118" s="137">
        <f t="shared" si="94"/>
        <v>0</v>
      </c>
      <c r="AV118" s="137">
        <f t="shared" si="94"/>
        <v>0</v>
      </c>
      <c r="AW118" s="137">
        <f t="shared" si="94"/>
        <v>0</v>
      </c>
      <c r="AX118" s="137">
        <f t="shared" si="94"/>
        <v>0</v>
      </c>
      <c r="AY118" s="137">
        <f t="shared" si="94"/>
        <v>0</v>
      </c>
      <c r="AZ118" s="137">
        <f t="shared" si="94"/>
        <v>0</v>
      </c>
      <c r="BA118" s="137">
        <f t="shared" si="94"/>
        <v>0</v>
      </c>
      <c r="BB118" s="137">
        <f t="shared" si="94"/>
        <v>0</v>
      </c>
      <c r="BC118" s="137">
        <f t="shared" si="94"/>
        <v>0</v>
      </c>
      <c r="BD118" s="137">
        <f t="shared" si="94"/>
        <v>0</v>
      </c>
      <c r="BE118" s="137">
        <f t="shared" si="94"/>
        <v>0</v>
      </c>
      <c r="BF118" s="137">
        <f t="shared" si="94"/>
        <v>0</v>
      </c>
      <c r="BG118" s="137">
        <f t="shared" si="94"/>
        <v>0</v>
      </c>
      <c r="BH118" s="137">
        <f t="shared" si="94"/>
        <v>0</v>
      </c>
      <c r="BI118" s="137">
        <f t="shared" si="94"/>
        <v>0</v>
      </c>
      <c r="BJ118" s="137">
        <f t="shared" si="94"/>
        <v>0</v>
      </c>
      <c r="BK118" s="137">
        <f t="shared" si="94"/>
        <v>0</v>
      </c>
      <c r="BL118" s="137">
        <f t="shared" si="94"/>
        <v>0</v>
      </c>
      <c r="BM118" s="137">
        <f t="shared" si="94"/>
        <v>0</v>
      </c>
      <c r="BN118" s="137">
        <f t="shared" si="94"/>
        <v>0</v>
      </c>
      <c r="BO118" s="137">
        <f t="shared" si="94"/>
        <v>0</v>
      </c>
      <c r="BP118" s="137">
        <f t="shared" si="94"/>
        <v>0</v>
      </c>
    </row>
    <row r="119" spans="1:68" outlineLevel="1" x14ac:dyDescent="0.35">
      <c r="A119" t="s">
        <v>12</v>
      </c>
      <c r="C119" t="s">
        <v>125</v>
      </c>
      <c r="D119" t="s">
        <v>459</v>
      </c>
      <c r="E119">
        <f t="shared" si="85"/>
        <v>0</v>
      </c>
      <c r="F119">
        <f t="shared" si="76"/>
        <v>0</v>
      </c>
      <c r="G119">
        <f t="shared" si="77"/>
        <v>0</v>
      </c>
      <c r="H119" s="121">
        <v>1</v>
      </c>
      <c r="I119" s="121">
        <f t="shared" si="78"/>
        <v>0</v>
      </c>
      <c r="Q119" s="127">
        <f t="shared" si="90"/>
        <v>370656</v>
      </c>
      <c r="R119" s="137">
        <f t="shared" ref="R119:BP119" si="95">SUMIF(R22:R26,"-",$K$22:$K$272)*176*54</f>
        <v>0</v>
      </c>
      <c r="S119" s="137">
        <f t="shared" si="95"/>
        <v>0</v>
      </c>
      <c r="T119" s="137">
        <f t="shared" si="95"/>
        <v>0</v>
      </c>
      <c r="U119" s="137">
        <f t="shared" si="95"/>
        <v>19008</v>
      </c>
      <c r="V119" s="137">
        <f t="shared" si="95"/>
        <v>19008</v>
      </c>
      <c r="W119" s="137">
        <f t="shared" si="95"/>
        <v>0</v>
      </c>
      <c r="X119" s="137">
        <f t="shared" si="95"/>
        <v>0</v>
      </c>
      <c r="Y119" s="137">
        <f t="shared" si="95"/>
        <v>0</v>
      </c>
      <c r="Z119" s="137">
        <f t="shared" si="95"/>
        <v>28512</v>
      </c>
      <c r="AA119" s="137">
        <f t="shared" si="95"/>
        <v>28512</v>
      </c>
      <c r="AB119" s="137">
        <f t="shared" si="95"/>
        <v>57024</v>
      </c>
      <c r="AC119" s="137">
        <f t="shared" si="95"/>
        <v>57024</v>
      </c>
      <c r="AD119" s="137">
        <f t="shared" si="95"/>
        <v>57024</v>
      </c>
      <c r="AE119" s="137">
        <f t="shared" si="95"/>
        <v>66528</v>
      </c>
      <c r="AF119" s="137">
        <f t="shared" si="95"/>
        <v>38016</v>
      </c>
      <c r="AG119" s="137">
        <f t="shared" si="95"/>
        <v>0</v>
      </c>
      <c r="AH119" s="137">
        <f t="shared" si="95"/>
        <v>0</v>
      </c>
      <c r="AI119" s="137">
        <f t="shared" si="95"/>
        <v>0</v>
      </c>
      <c r="AJ119" s="137">
        <f t="shared" si="95"/>
        <v>0</v>
      </c>
      <c r="AK119" s="137">
        <f t="shared" si="95"/>
        <v>0</v>
      </c>
      <c r="AL119" s="137">
        <f t="shared" si="95"/>
        <v>0</v>
      </c>
      <c r="AM119" s="137">
        <f t="shared" si="95"/>
        <v>0</v>
      </c>
      <c r="AN119" s="137">
        <f t="shared" si="95"/>
        <v>0</v>
      </c>
      <c r="AO119" s="137">
        <f t="shared" si="95"/>
        <v>0</v>
      </c>
      <c r="AP119" s="137">
        <f t="shared" si="95"/>
        <v>0</v>
      </c>
      <c r="AQ119" s="137">
        <f t="shared" si="95"/>
        <v>0</v>
      </c>
      <c r="AR119" s="137">
        <f t="shared" si="95"/>
        <v>0</v>
      </c>
      <c r="AS119" s="137">
        <f t="shared" si="95"/>
        <v>0</v>
      </c>
      <c r="AT119" s="137">
        <f t="shared" si="95"/>
        <v>0</v>
      </c>
      <c r="AU119" s="137">
        <f t="shared" si="95"/>
        <v>0</v>
      </c>
      <c r="AV119" s="137">
        <f t="shared" si="95"/>
        <v>0</v>
      </c>
      <c r="AW119" s="137">
        <f t="shared" si="95"/>
        <v>0</v>
      </c>
      <c r="AX119" s="137">
        <f t="shared" si="95"/>
        <v>0</v>
      </c>
      <c r="AY119" s="137">
        <f t="shared" si="95"/>
        <v>0</v>
      </c>
      <c r="AZ119" s="137">
        <f t="shared" si="95"/>
        <v>0</v>
      </c>
      <c r="BA119" s="137">
        <f t="shared" si="95"/>
        <v>0</v>
      </c>
      <c r="BB119" s="137">
        <f t="shared" si="95"/>
        <v>0</v>
      </c>
      <c r="BC119" s="137">
        <f t="shared" si="95"/>
        <v>0</v>
      </c>
      <c r="BD119" s="137">
        <f t="shared" si="95"/>
        <v>0</v>
      </c>
      <c r="BE119" s="137">
        <f t="shared" si="95"/>
        <v>0</v>
      </c>
      <c r="BF119" s="137">
        <f t="shared" si="95"/>
        <v>0</v>
      </c>
      <c r="BG119" s="137">
        <f t="shared" si="95"/>
        <v>0</v>
      </c>
      <c r="BH119" s="137">
        <f t="shared" si="95"/>
        <v>0</v>
      </c>
      <c r="BI119" s="137">
        <f t="shared" si="95"/>
        <v>0</v>
      </c>
      <c r="BJ119" s="137">
        <f t="shared" si="95"/>
        <v>0</v>
      </c>
      <c r="BK119" s="137">
        <f t="shared" si="95"/>
        <v>0</v>
      </c>
      <c r="BL119" s="137">
        <f t="shared" si="95"/>
        <v>0</v>
      </c>
      <c r="BM119" s="137">
        <f t="shared" si="95"/>
        <v>0</v>
      </c>
      <c r="BN119" s="137">
        <f t="shared" si="95"/>
        <v>0</v>
      </c>
      <c r="BO119" s="137">
        <f t="shared" si="95"/>
        <v>0</v>
      </c>
      <c r="BP119" s="137">
        <f t="shared" si="95"/>
        <v>0</v>
      </c>
    </row>
    <row r="120" spans="1:68" outlineLevel="1" x14ac:dyDescent="0.35">
      <c r="A120" t="s">
        <v>12</v>
      </c>
      <c r="C120" t="s">
        <v>125</v>
      </c>
      <c r="D120" t="s">
        <v>227</v>
      </c>
      <c r="E120">
        <f t="shared" si="85"/>
        <v>0</v>
      </c>
      <c r="F120">
        <f t="shared" si="76"/>
        <v>0</v>
      </c>
      <c r="G120">
        <f t="shared" si="77"/>
        <v>0</v>
      </c>
      <c r="H120" s="121">
        <v>1</v>
      </c>
      <c r="I120" s="121">
        <f t="shared" si="78"/>
        <v>0</v>
      </c>
      <c r="Q120" s="127">
        <f t="shared" si="90"/>
        <v>171072</v>
      </c>
      <c r="R120" s="137">
        <f t="shared" ref="R120:BP120" si="96">SUMIF(R28:R32,"-",$K$28:$K$32)*176*54</f>
        <v>19008</v>
      </c>
      <c r="S120" s="137">
        <f t="shared" si="96"/>
        <v>0</v>
      </c>
      <c r="T120" s="137">
        <f t="shared" si="96"/>
        <v>0</v>
      </c>
      <c r="U120" s="137">
        <f t="shared" si="96"/>
        <v>0</v>
      </c>
      <c r="V120" s="137">
        <f t="shared" si="96"/>
        <v>0</v>
      </c>
      <c r="W120" s="137">
        <f t="shared" si="96"/>
        <v>0</v>
      </c>
      <c r="X120" s="137">
        <f t="shared" si="96"/>
        <v>0</v>
      </c>
      <c r="Y120" s="137">
        <f t="shared" si="96"/>
        <v>0</v>
      </c>
      <c r="Z120" s="137">
        <f t="shared" si="96"/>
        <v>0</v>
      </c>
      <c r="AA120" s="137">
        <f t="shared" si="96"/>
        <v>0</v>
      </c>
      <c r="AB120" s="137">
        <f t="shared" si="96"/>
        <v>28512</v>
      </c>
      <c r="AC120" s="137">
        <f t="shared" si="96"/>
        <v>57024</v>
      </c>
      <c r="AD120" s="137">
        <f t="shared" si="96"/>
        <v>28512</v>
      </c>
      <c r="AE120" s="137">
        <f t="shared" si="96"/>
        <v>38016</v>
      </c>
      <c r="AF120" s="137">
        <f t="shared" si="96"/>
        <v>0</v>
      </c>
      <c r="AG120" s="137">
        <f t="shared" si="96"/>
        <v>0</v>
      </c>
      <c r="AH120" s="137">
        <f t="shared" si="96"/>
        <v>0</v>
      </c>
      <c r="AI120" s="137">
        <f t="shared" si="96"/>
        <v>0</v>
      </c>
      <c r="AJ120" s="137">
        <f t="shared" si="96"/>
        <v>0</v>
      </c>
      <c r="AK120" s="137">
        <f t="shared" si="96"/>
        <v>0</v>
      </c>
      <c r="AL120" s="137">
        <f t="shared" si="96"/>
        <v>0</v>
      </c>
      <c r="AM120" s="137">
        <f t="shared" si="96"/>
        <v>0</v>
      </c>
      <c r="AN120" s="137">
        <f t="shared" si="96"/>
        <v>0</v>
      </c>
      <c r="AO120" s="137">
        <f t="shared" si="96"/>
        <v>0</v>
      </c>
      <c r="AP120" s="137">
        <f t="shared" si="96"/>
        <v>0</v>
      </c>
      <c r="AQ120" s="137">
        <f t="shared" si="96"/>
        <v>0</v>
      </c>
      <c r="AR120" s="137">
        <f t="shared" si="96"/>
        <v>0</v>
      </c>
      <c r="AS120" s="137">
        <f t="shared" si="96"/>
        <v>0</v>
      </c>
      <c r="AT120" s="137">
        <f t="shared" si="96"/>
        <v>0</v>
      </c>
      <c r="AU120" s="137">
        <f t="shared" si="96"/>
        <v>0</v>
      </c>
      <c r="AV120" s="137">
        <f t="shared" si="96"/>
        <v>0</v>
      </c>
      <c r="AW120" s="137">
        <f t="shared" si="96"/>
        <v>0</v>
      </c>
      <c r="AX120" s="137">
        <f t="shared" si="96"/>
        <v>0</v>
      </c>
      <c r="AY120" s="137">
        <f t="shared" si="96"/>
        <v>0</v>
      </c>
      <c r="AZ120" s="137">
        <f t="shared" si="96"/>
        <v>0</v>
      </c>
      <c r="BA120" s="137">
        <f t="shared" si="96"/>
        <v>0</v>
      </c>
      <c r="BB120" s="137">
        <f t="shared" si="96"/>
        <v>0</v>
      </c>
      <c r="BC120" s="137">
        <f t="shared" si="96"/>
        <v>0</v>
      </c>
      <c r="BD120" s="137">
        <f t="shared" si="96"/>
        <v>0</v>
      </c>
      <c r="BE120" s="137">
        <f t="shared" si="96"/>
        <v>0</v>
      </c>
      <c r="BF120" s="137">
        <f t="shared" si="96"/>
        <v>0</v>
      </c>
      <c r="BG120" s="137">
        <f t="shared" si="96"/>
        <v>0</v>
      </c>
      <c r="BH120" s="137">
        <f t="shared" si="96"/>
        <v>0</v>
      </c>
      <c r="BI120" s="137">
        <f t="shared" si="96"/>
        <v>0</v>
      </c>
      <c r="BJ120" s="137">
        <f t="shared" si="96"/>
        <v>0</v>
      </c>
      <c r="BK120" s="137">
        <f t="shared" si="96"/>
        <v>0</v>
      </c>
      <c r="BL120" s="137">
        <f t="shared" si="96"/>
        <v>0</v>
      </c>
      <c r="BM120" s="137">
        <f t="shared" si="96"/>
        <v>0</v>
      </c>
      <c r="BN120" s="137">
        <f t="shared" si="96"/>
        <v>0</v>
      </c>
      <c r="BO120" s="137">
        <f t="shared" si="96"/>
        <v>0</v>
      </c>
      <c r="BP120" s="137">
        <f t="shared" si="96"/>
        <v>0</v>
      </c>
    </row>
    <row r="121" spans="1:68" outlineLevel="1" x14ac:dyDescent="0.35">
      <c r="A121" t="s">
        <v>12</v>
      </c>
      <c r="C121" t="s">
        <v>125</v>
      </c>
      <c r="D121" t="s">
        <v>279</v>
      </c>
      <c r="E121">
        <f t="shared" si="85"/>
        <v>0</v>
      </c>
      <c r="F121">
        <f t="shared" si="76"/>
        <v>0</v>
      </c>
      <c r="G121">
        <f t="shared" si="77"/>
        <v>0</v>
      </c>
      <c r="H121" s="121">
        <v>1</v>
      </c>
      <c r="I121" s="121">
        <f t="shared" si="78"/>
        <v>0</v>
      </c>
      <c r="Q121" s="127">
        <f t="shared" si="90"/>
        <v>38016</v>
      </c>
      <c r="R121" s="137">
        <f t="shared" ref="R121:BP121" si="97">SUMIF(R33:R35,"-",$K$33:$K$35)*176*54</f>
        <v>0</v>
      </c>
      <c r="S121" s="137">
        <f t="shared" si="97"/>
        <v>0</v>
      </c>
      <c r="T121" s="137">
        <f t="shared" si="97"/>
        <v>0</v>
      </c>
      <c r="U121" s="137">
        <f t="shared" si="97"/>
        <v>0</v>
      </c>
      <c r="V121" s="137">
        <f t="shared" si="97"/>
        <v>0</v>
      </c>
      <c r="W121" s="137">
        <f t="shared" si="97"/>
        <v>0</v>
      </c>
      <c r="X121" s="137">
        <f t="shared" si="97"/>
        <v>0</v>
      </c>
      <c r="Y121" s="137">
        <f t="shared" si="97"/>
        <v>0</v>
      </c>
      <c r="Z121" s="137">
        <f t="shared" si="97"/>
        <v>0</v>
      </c>
      <c r="AA121" s="137">
        <f t="shared" si="97"/>
        <v>0</v>
      </c>
      <c r="AB121" s="137">
        <f t="shared" si="97"/>
        <v>0</v>
      </c>
      <c r="AC121" s="137">
        <f t="shared" si="97"/>
        <v>0</v>
      </c>
      <c r="AD121" s="137">
        <f t="shared" si="97"/>
        <v>28512</v>
      </c>
      <c r="AE121" s="137">
        <f t="shared" si="97"/>
        <v>9504</v>
      </c>
      <c r="AF121" s="137">
        <f t="shared" si="97"/>
        <v>0</v>
      </c>
      <c r="AG121" s="137">
        <f t="shared" si="97"/>
        <v>0</v>
      </c>
      <c r="AH121" s="137">
        <f t="shared" si="97"/>
        <v>0</v>
      </c>
      <c r="AI121" s="137">
        <f t="shared" si="97"/>
        <v>0</v>
      </c>
      <c r="AJ121" s="137">
        <f t="shared" si="97"/>
        <v>0</v>
      </c>
      <c r="AK121" s="137">
        <f t="shared" si="97"/>
        <v>0</v>
      </c>
      <c r="AL121" s="137">
        <f t="shared" si="97"/>
        <v>0</v>
      </c>
      <c r="AM121" s="137">
        <f t="shared" si="97"/>
        <v>0</v>
      </c>
      <c r="AN121" s="137">
        <f t="shared" si="97"/>
        <v>0</v>
      </c>
      <c r="AO121" s="137">
        <f t="shared" si="97"/>
        <v>0</v>
      </c>
      <c r="AP121" s="137">
        <f t="shared" si="97"/>
        <v>0</v>
      </c>
      <c r="AQ121" s="137">
        <f t="shared" si="97"/>
        <v>0</v>
      </c>
      <c r="AR121" s="137">
        <f t="shared" si="97"/>
        <v>0</v>
      </c>
      <c r="AS121" s="137">
        <f t="shared" si="97"/>
        <v>0</v>
      </c>
      <c r="AT121" s="137">
        <f t="shared" si="97"/>
        <v>0</v>
      </c>
      <c r="AU121" s="137">
        <f t="shared" si="97"/>
        <v>0</v>
      </c>
      <c r="AV121" s="137">
        <f t="shared" si="97"/>
        <v>0</v>
      </c>
      <c r="AW121" s="137">
        <f t="shared" si="97"/>
        <v>0</v>
      </c>
      <c r="AX121" s="137">
        <f t="shared" si="97"/>
        <v>0</v>
      </c>
      <c r="AY121" s="137">
        <f t="shared" si="97"/>
        <v>0</v>
      </c>
      <c r="AZ121" s="137">
        <f t="shared" si="97"/>
        <v>0</v>
      </c>
      <c r="BA121" s="137">
        <f t="shared" si="97"/>
        <v>0</v>
      </c>
      <c r="BB121" s="137">
        <f t="shared" si="97"/>
        <v>0</v>
      </c>
      <c r="BC121" s="137">
        <f t="shared" si="97"/>
        <v>0</v>
      </c>
      <c r="BD121" s="137">
        <f t="shared" si="97"/>
        <v>0</v>
      </c>
      <c r="BE121" s="137">
        <f t="shared" si="97"/>
        <v>0</v>
      </c>
      <c r="BF121" s="137">
        <f t="shared" si="97"/>
        <v>0</v>
      </c>
      <c r="BG121" s="137">
        <f t="shared" si="97"/>
        <v>0</v>
      </c>
      <c r="BH121" s="137">
        <f t="shared" si="97"/>
        <v>0</v>
      </c>
      <c r="BI121" s="137">
        <f t="shared" si="97"/>
        <v>0</v>
      </c>
      <c r="BJ121" s="137">
        <f t="shared" si="97"/>
        <v>0</v>
      </c>
      <c r="BK121" s="137">
        <f t="shared" si="97"/>
        <v>0</v>
      </c>
      <c r="BL121" s="137">
        <f t="shared" si="97"/>
        <v>0</v>
      </c>
      <c r="BM121" s="137">
        <f t="shared" si="97"/>
        <v>0</v>
      </c>
      <c r="BN121" s="137">
        <f t="shared" si="97"/>
        <v>0</v>
      </c>
      <c r="BO121" s="137">
        <f t="shared" si="97"/>
        <v>0</v>
      </c>
      <c r="BP121" s="137">
        <f t="shared" si="97"/>
        <v>0</v>
      </c>
    </row>
    <row r="122" spans="1:68" outlineLevel="1" x14ac:dyDescent="0.35">
      <c r="A122" t="s">
        <v>12</v>
      </c>
      <c r="C122" t="s">
        <v>125</v>
      </c>
      <c r="D122" t="s">
        <v>278</v>
      </c>
      <c r="E122">
        <f t="shared" si="85"/>
        <v>0</v>
      </c>
      <c r="F122">
        <f t="shared" si="76"/>
        <v>0</v>
      </c>
      <c r="G122">
        <f t="shared" si="77"/>
        <v>0</v>
      </c>
      <c r="H122" s="121">
        <v>1</v>
      </c>
      <c r="I122" s="121">
        <f t="shared" si="78"/>
        <v>0</v>
      </c>
      <c r="Q122" s="127">
        <f>SUM(R122:BP122)</f>
        <v>380160</v>
      </c>
      <c r="R122" s="137">
        <f>SUMIF(R37:R42,"-",$K$37:$K$42)*176*54</f>
        <v>19008</v>
      </c>
      <c r="S122" s="137">
        <f t="shared" ref="S122:BP122" si="98">SUMIF(S37:S42,"-",$K$37:$K$42)*176*54</f>
        <v>19008</v>
      </c>
      <c r="T122" s="137">
        <f t="shared" si="98"/>
        <v>28512</v>
      </c>
      <c r="U122" s="137">
        <f t="shared" si="98"/>
        <v>28512</v>
      </c>
      <c r="V122" s="137">
        <f t="shared" si="98"/>
        <v>28512</v>
      </c>
      <c r="W122" s="137">
        <f t="shared" si="98"/>
        <v>28512</v>
      </c>
      <c r="X122" s="137">
        <f t="shared" si="98"/>
        <v>28512</v>
      </c>
      <c r="Y122" s="137">
        <f t="shared" si="98"/>
        <v>19008</v>
      </c>
      <c r="Z122" s="137">
        <f t="shared" si="98"/>
        <v>19008</v>
      </c>
      <c r="AA122" s="137">
        <f t="shared" si="98"/>
        <v>19008</v>
      </c>
      <c r="AB122" s="137">
        <f t="shared" si="98"/>
        <v>0</v>
      </c>
      <c r="AC122" s="137">
        <f t="shared" si="98"/>
        <v>0</v>
      </c>
      <c r="AD122" s="137">
        <f t="shared" si="98"/>
        <v>0</v>
      </c>
      <c r="AE122" s="137">
        <f t="shared" si="98"/>
        <v>0</v>
      </c>
      <c r="AF122" s="137">
        <f t="shared" si="98"/>
        <v>28512</v>
      </c>
      <c r="AG122" s="137">
        <f t="shared" si="98"/>
        <v>38016</v>
      </c>
      <c r="AH122" s="137">
        <f t="shared" si="98"/>
        <v>38016</v>
      </c>
      <c r="AI122" s="137">
        <f t="shared" si="98"/>
        <v>38016</v>
      </c>
      <c r="AJ122" s="137">
        <f t="shared" si="98"/>
        <v>0</v>
      </c>
      <c r="AK122" s="137">
        <f t="shared" si="98"/>
        <v>0</v>
      </c>
      <c r="AL122" s="137">
        <f t="shared" si="98"/>
        <v>0</v>
      </c>
      <c r="AM122" s="137">
        <f t="shared" si="98"/>
        <v>0</v>
      </c>
      <c r="AN122" s="137">
        <f t="shared" si="98"/>
        <v>0</v>
      </c>
      <c r="AO122" s="137">
        <f t="shared" si="98"/>
        <v>0</v>
      </c>
      <c r="AP122" s="137">
        <f t="shared" si="98"/>
        <v>0</v>
      </c>
      <c r="AQ122" s="137">
        <f t="shared" si="98"/>
        <v>0</v>
      </c>
      <c r="AR122" s="137">
        <f t="shared" si="98"/>
        <v>0</v>
      </c>
      <c r="AS122" s="137">
        <f t="shared" si="98"/>
        <v>0</v>
      </c>
      <c r="AT122" s="137">
        <f t="shared" si="98"/>
        <v>0</v>
      </c>
      <c r="AU122" s="137">
        <f t="shared" si="98"/>
        <v>0</v>
      </c>
      <c r="AV122" s="137">
        <f t="shared" si="98"/>
        <v>0</v>
      </c>
      <c r="AW122" s="137">
        <f t="shared" si="98"/>
        <v>0</v>
      </c>
      <c r="AX122" s="137">
        <f t="shared" si="98"/>
        <v>0</v>
      </c>
      <c r="AY122" s="137">
        <f t="shared" si="98"/>
        <v>0</v>
      </c>
      <c r="AZ122" s="137">
        <f t="shared" si="98"/>
        <v>0</v>
      </c>
      <c r="BA122" s="137">
        <f t="shared" si="98"/>
        <v>0</v>
      </c>
      <c r="BB122" s="137">
        <f t="shared" si="98"/>
        <v>0</v>
      </c>
      <c r="BC122" s="137">
        <f t="shared" si="98"/>
        <v>0</v>
      </c>
      <c r="BD122" s="137">
        <f t="shared" si="98"/>
        <v>0</v>
      </c>
      <c r="BE122" s="137">
        <f t="shared" si="98"/>
        <v>0</v>
      </c>
      <c r="BF122" s="137">
        <f t="shared" si="98"/>
        <v>0</v>
      </c>
      <c r="BG122" s="137">
        <f t="shared" si="98"/>
        <v>0</v>
      </c>
      <c r="BH122" s="137">
        <f t="shared" si="98"/>
        <v>0</v>
      </c>
      <c r="BI122" s="137">
        <f t="shared" si="98"/>
        <v>0</v>
      </c>
      <c r="BJ122" s="137">
        <f t="shared" si="98"/>
        <v>0</v>
      </c>
      <c r="BK122" s="137">
        <f t="shared" si="98"/>
        <v>0</v>
      </c>
      <c r="BL122" s="137">
        <f t="shared" si="98"/>
        <v>0</v>
      </c>
      <c r="BM122" s="137">
        <f t="shared" si="98"/>
        <v>0</v>
      </c>
      <c r="BN122" s="137">
        <f t="shared" si="98"/>
        <v>0</v>
      </c>
      <c r="BO122" s="137">
        <f t="shared" si="98"/>
        <v>0</v>
      </c>
      <c r="BP122" s="137">
        <f t="shared" si="98"/>
        <v>0</v>
      </c>
    </row>
    <row r="123" spans="1:68" outlineLevel="1" x14ac:dyDescent="0.35">
      <c r="A123" t="s">
        <v>12</v>
      </c>
      <c r="C123" t="s">
        <v>125</v>
      </c>
      <c r="D123" t="s">
        <v>280</v>
      </c>
      <c r="E123">
        <f t="shared" si="85"/>
        <v>0</v>
      </c>
      <c r="F123">
        <f t="shared" si="76"/>
        <v>0</v>
      </c>
      <c r="G123">
        <f t="shared" si="77"/>
        <v>0</v>
      </c>
      <c r="H123" s="121">
        <v>1</v>
      </c>
      <c r="I123" s="121">
        <f t="shared" si="78"/>
        <v>0</v>
      </c>
      <c r="Q123" s="127">
        <f>SUM(R123:BP123)</f>
        <v>216000</v>
      </c>
      <c r="R123" s="137">
        <f>SUMIF(R44:R44,"-",$K$44:$K$44)*160*45+SUMIF(R45:R45,"-",$K$45:$K$45)*160*54</f>
        <v>0</v>
      </c>
      <c r="S123" s="137">
        <f t="shared" ref="S123:BP123" si="99">SUMIF(S44:S44,"-",$K$44:$K$44)*160*45+SUMIF(S45:S45,"-",$K$45:$K$45)*160*54</f>
        <v>0</v>
      </c>
      <c r="T123" s="137">
        <f t="shared" si="99"/>
        <v>0</v>
      </c>
      <c r="U123" s="137">
        <f t="shared" si="99"/>
        <v>0</v>
      </c>
      <c r="V123" s="137">
        <f t="shared" si="99"/>
        <v>0</v>
      </c>
      <c r="W123" s="137">
        <f t="shared" si="99"/>
        <v>0</v>
      </c>
      <c r="X123" s="137">
        <f t="shared" si="99"/>
        <v>0</v>
      </c>
      <c r="Y123" s="137">
        <f t="shared" si="99"/>
        <v>0</v>
      </c>
      <c r="Z123" s="137">
        <f t="shared" si="99"/>
        <v>0</v>
      </c>
      <c r="AA123" s="137">
        <f t="shared" si="99"/>
        <v>0</v>
      </c>
      <c r="AB123" s="137">
        <f t="shared" si="99"/>
        <v>0</v>
      </c>
      <c r="AC123" s="137">
        <f t="shared" si="99"/>
        <v>0</v>
      </c>
      <c r="AD123" s="137">
        <f t="shared" si="99"/>
        <v>0</v>
      </c>
      <c r="AE123" s="137">
        <f t="shared" si="99"/>
        <v>0</v>
      </c>
      <c r="AF123" s="137">
        <f t="shared" si="99"/>
        <v>0</v>
      </c>
      <c r="AG123" s="137">
        <f t="shared" si="99"/>
        <v>0</v>
      </c>
      <c r="AH123" s="137">
        <f t="shared" si="99"/>
        <v>0</v>
      </c>
      <c r="AI123" s="137">
        <f t="shared" si="99"/>
        <v>0</v>
      </c>
      <c r="AJ123" s="137">
        <f t="shared" si="99"/>
        <v>0</v>
      </c>
      <c r="AK123" s="137">
        <f t="shared" si="99"/>
        <v>0</v>
      </c>
      <c r="AL123" s="137">
        <f t="shared" si="99"/>
        <v>0</v>
      </c>
      <c r="AM123" s="137">
        <f t="shared" si="99"/>
        <v>0</v>
      </c>
      <c r="AN123" s="137">
        <f t="shared" si="99"/>
        <v>0</v>
      </c>
      <c r="AO123" s="137">
        <f t="shared" si="99"/>
        <v>0</v>
      </c>
      <c r="AP123" s="137">
        <f t="shared" si="99"/>
        <v>36000</v>
      </c>
      <c r="AQ123" s="137">
        <f t="shared" si="99"/>
        <v>36000</v>
      </c>
      <c r="AR123" s="137">
        <f t="shared" si="99"/>
        <v>36000</v>
      </c>
      <c r="AS123" s="137">
        <f t="shared" si="99"/>
        <v>36000</v>
      </c>
      <c r="AT123" s="137">
        <f t="shared" si="99"/>
        <v>36000</v>
      </c>
      <c r="AU123" s="137">
        <f t="shared" si="99"/>
        <v>36000</v>
      </c>
      <c r="AV123" s="137">
        <f t="shared" si="99"/>
        <v>0</v>
      </c>
      <c r="AW123" s="137">
        <f t="shared" si="99"/>
        <v>0</v>
      </c>
      <c r="AX123" s="137">
        <f t="shared" si="99"/>
        <v>0</v>
      </c>
      <c r="AY123" s="137">
        <f t="shared" si="99"/>
        <v>0</v>
      </c>
      <c r="AZ123" s="137">
        <f t="shared" si="99"/>
        <v>0</v>
      </c>
      <c r="BA123" s="137">
        <f t="shared" si="99"/>
        <v>0</v>
      </c>
      <c r="BB123" s="137">
        <f t="shared" si="99"/>
        <v>0</v>
      </c>
      <c r="BC123" s="137">
        <f t="shared" si="99"/>
        <v>0</v>
      </c>
      <c r="BD123" s="137">
        <f t="shared" si="99"/>
        <v>0</v>
      </c>
      <c r="BE123" s="137">
        <f t="shared" si="99"/>
        <v>0</v>
      </c>
      <c r="BF123" s="137">
        <f t="shared" si="99"/>
        <v>0</v>
      </c>
      <c r="BG123" s="137">
        <f t="shared" si="99"/>
        <v>0</v>
      </c>
      <c r="BH123" s="137">
        <f t="shared" si="99"/>
        <v>0</v>
      </c>
      <c r="BI123" s="137">
        <f t="shared" si="99"/>
        <v>0</v>
      </c>
      <c r="BJ123" s="137">
        <f t="shared" si="99"/>
        <v>0</v>
      </c>
      <c r="BK123" s="137">
        <f t="shared" si="99"/>
        <v>0</v>
      </c>
      <c r="BL123" s="137">
        <f t="shared" si="99"/>
        <v>0</v>
      </c>
      <c r="BM123" s="137">
        <f t="shared" si="99"/>
        <v>0</v>
      </c>
      <c r="BN123" s="137">
        <f t="shared" si="99"/>
        <v>0</v>
      </c>
      <c r="BO123" s="137">
        <f t="shared" si="99"/>
        <v>0</v>
      </c>
      <c r="BP123" s="137">
        <f t="shared" si="99"/>
        <v>0</v>
      </c>
    </row>
    <row r="124" spans="1:68" outlineLevel="1" x14ac:dyDescent="0.35">
      <c r="A124" t="s">
        <v>12</v>
      </c>
      <c r="C124" t="s">
        <v>275</v>
      </c>
      <c r="D124" t="s">
        <v>198</v>
      </c>
      <c r="E124">
        <f t="shared" si="85"/>
        <v>0</v>
      </c>
      <c r="F124">
        <f t="shared" si="76"/>
        <v>0</v>
      </c>
      <c r="G124">
        <f t="shared" si="77"/>
        <v>0</v>
      </c>
      <c r="H124" s="121">
        <v>1</v>
      </c>
      <c r="I124" s="121">
        <f t="shared" si="78"/>
        <v>0</v>
      </c>
      <c r="Q124" s="127">
        <f t="shared" ref="Q124:Q130" si="100">SUM(R124:AQ124)</f>
        <v>294624</v>
      </c>
      <c r="R124" s="137">
        <f>SUMIF(R47:R50,"-",$K$47:$K$50)*176*54</f>
        <v>0</v>
      </c>
      <c r="S124" s="137">
        <f t="shared" ref="S124:BP124" si="101">SUMIF(S47:S50,"-",$K$47:$K$50)*176*54</f>
        <v>0</v>
      </c>
      <c r="T124" s="137">
        <f t="shared" si="101"/>
        <v>19008</v>
      </c>
      <c r="U124" s="137">
        <f t="shared" si="101"/>
        <v>19008</v>
      </c>
      <c r="V124" s="137">
        <f t="shared" si="101"/>
        <v>0</v>
      </c>
      <c r="W124" s="137">
        <f t="shared" si="101"/>
        <v>0</v>
      </c>
      <c r="X124" s="137">
        <f t="shared" si="101"/>
        <v>0</v>
      </c>
      <c r="Y124" s="137">
        <f t="shared" si="101"/>
        <v>28512</v>
      </c>
      <c r="Z124" s="137">
        <f t="shared" si="101"/>
        <v>28512</v>
      </c>
      <c r="AA124" s="137">
        <f t="shared" si="101"/>
        <v>28512</v>
      </c>
      <c r="AB124" s="137">
        <f t="shared" si="101"/>
        <v>28512</v>
      </c>
      <c r="AC124" s="137">
        <f t="shared" si="101"/>
        <v>28512</v>
      </c>
      <c r="AD124" s="137">
        <f t="shared" si="101"/>
        <v>0</v>
      </c>
      <c r="AE124" s="137">
        <f t="shared" si="101"/>
        <v>0</v>
      </c>
      <c r="AF124" s="137">
        <f t="shared" si="101"/>
        <v>38016</v>
      </c>
      <c r="AG124" s="137">
        <f t="shared" si="101"/>
        <v>38016</v>
      </c>
      <c r="AH124" s="137">
        <f t="shared" si="101"/>
        <v>38016</v>
      </c>
      <c r="AI124" s="137">
        <f t="shared" si="101"/>
        <v>0</v>
      </c>
      <c r="AJ124" s="137">
        <f t="shared" si="101"/>
        <v>0</v>
      </c>
      <c r="AK124" s="137">
        <f t="shared" si="101"/>
        <v>0</v>
      </c>
      <c r="AL124" s="137">
        <f t="shared" si="101"/>
        <v>0</v>
      </c>
      <c r="AM124" s="137">
        <f t="shared" si="101"/>
        <v>0</v>
      </c>
      <c r="AN124" s="137">
        <f t="shared" si="101"/>
        <v>0</v>
      </c>
      <c r="AO124" s="137">
        <f t="shared" si="101"/>
        <v>0</v>
      </c>
      <c r="AP124" s="137">
        <f t="shared" si="101"/>
        <v>0</v>
      </c>
      <c r="AQ124" s="137">
        <f t="shared" si="101"/>
        <v>0</v>
      </c>
      <c r="AR124" s="137">
        <f t="shared" si="101"/>
        <v>0</v>
      </c>
      <c r="AS124" s="137">
        <f t="shared" si="101"/>
        <v>0</v>
      </c>
      <c r="AT124" s="137">
        <f t="shared" si="101"/>
        <v>0</v>
      </c>
      <c r="AU124" s="137">
        <f t="shared" si="101"/>
        <v>0</v>
      </c>
      <c r="AV124" s="137">
        <f t="shared" si="101"/>
        <v>0</v>
      </c>
      <c r="AW124" s="137">
        <f t="shared" si="101"/>
        <v>0</v>
      </c>
      <c r="AX124" s="137">
        <f t="shared" si="101"/>
        <v>0</v>
      </c>
      <c r="AY124" s="137">
        <f t="shared" si="101"/>
        <v>0</v>
      </c>
      <c r="AZ124" s="137">
        <f t="shared" si="101"/>
        <v>0</v>
      </c>
      <c r="BA124" s="137">
        <f t="shared" si="101"/>
        <v>0</v>
      </c>
      <c r="BB124" s="137">
        <f t="shared" si="101"/>
        <v>0</v>
      </c>
      <c r="BC124" s="137">
        <f t="shared" si="101"/>
        <v>0</v>
      </c>
      <c r="BD124" s="137">
        <f t="shared" si="101"/>
        <v>0</v>
      </c>
      <c r="BE124" s="137">
        <f t="shared" si="101"/>
        <v>0</v>
      </c>
      <c r="BF124" s="137">
        <f t="shared" si="101"/>
        <v>0</v>
      </c>
      <c r="BG124" s="137">
        <f t="shared" si="101"/>
        <v>0</v>
      </c>
      <c r="BH124" s="137">
        <f t="shared" si="101"/>
        <v>0</v>
      </c>
      <c r="BI124" s="137">
        <f t="shared" si="101"/>
        <v>0</v>
      </c>
      <c r="BJ124" s="137">
        <f t="shared" si="101"/>
        <v>0</v>
      </c>
      <c r="BK124" s="137">
        <f t="shared" si="101"/>
        <v>0</v>
      </c>
      <c r="BL124" s="137">
        <f t="shared" si="101"/>
        <v>0</v>
      </c>
      <c r="BM124" s="137">
        <f t="shared" si="101"/>
        <v>0</v>
      </c>
      <c r="BN124" s="137">
        <f t="shared" si="101"/>
        <v>0</v>
      </c>
      <c r="BO124" s="137">
        <f t="shared" si="101"/>
        <v>0</v>
      </c>
      <c r="BP124" s="137">
        <f t="shared" si="101"/>
        <v>0</v>
      </c>
    </row>
    <row r="125" spans="1:68" outlineLevel="1" x14ac:dyDescent="0.35">
      <c r="A125" t="s">
        <v>12</v>
      </c>
      <c r="C125" t="s">
        <v>275</v>
      </c>
      <c r="D125" t="s">
        <v>459</v>
      </c>
      <c r="E125">
        <f t="shared" si="85"/>
        <v>0</v>
      </c>
      <c r="F125">
        <f t="shared" si="76"/>
        <v>0</v>
      </c>
      <c r="G125">
        <f t="shared" si="77"/>
        <v>0</v>
      </c>
      <c r="H125" s="121">
        <v>1</v>
      </c>
      <c r="I125" s="121">
        <f t="shared" si="78"/>
        <v>0</v>
      </c>
      <c r="Q125" s="127">
        <f t="shared" si="100"/>
        <v>228096</v>
      </c>
      <c r="R125" s="137">
        <f t="shared" ref="R125:BP125" si="102">SUMIF(R63:R69,"-",$K$63:$K$69)*176*54</f>
        <v>0</v>
      </c>
      <c r="S125" s="137">
        <f t="shared" si="102"/>
        <v>0</v>
      </c>
      <c r="T125" s="137">
        <f t="shared" si="102"/>
        <v>0</v>
      </c>
      <c r="U125" s="137">
        <f t="shared" si="102"/>
        <v>0</v>
      </c>
      <c r="V125" s="137">
        <f t="shared" si="102"/>
        <v>0</v>
      </c>
      <c r="W125" s="137">
        <f t="shared" si="102"/>
        <v>47520</v>
      </c>
      <c r="X125" s="137">
        <f t="shared" si="102"/>
        <v>28512</v>
      </c>
      <c r="Y125" s="137">
        <f t="shared" si="102"/>
        <v>47520</v>
      </c>
      <c r="Z125" s="137">
        <f t="shared" si="102"/>
        <v>47520</v>
      </c>
      <c r="AA125" s="137">
        <f t="shared" si="102"/>
        <v>0</v>
      </c>
      <c r="AB125" s="137">
        <f t="shared" si="102"/>
        <v>0</v>
      </c>
      <c r="AC125" s="137">
        <f t="shared" si="102"/>
        <v>0</v>
      </c>
      <c r="AD125" s="137">
        <f t="shared" si="102"/>
        <v>0</v>
      </c>
      <c r="AE125" s="137">
        <f t="shared" si="102"/>
        <v>0</v>
      </c>
      <c r="AF125" s="137">
        <f t="shared" si="102"/>
        <v>0</v>
      </c>
      <c r="AG125" s="137">
        <f t="shared" si="102"/>
        <v>0</v>
      </c>
      <c r="AH125" s="137">
        <f t="shared" si="102"/>
        <v>0</v>
      </c>
      <c r="AI125" s="137">
        <f t="shared" si="102"/>
        <v>0</v>
      </c>
      <c r="AJ125" s="137">
        <f t="shared" si="102"/>
        <v>0</v>
      </c>
      <c r="AK125" s="137">
        <f t="shared" si="102"/>
        <v>9504</v>
      </c>
      <c r="AL125" s="137">
        <f t="shared" si="102"/>
        <v>9504</v>
      </c>
      <c r="AM125" s="137">
        <f t="shared" si="102"/>
        <v>38016</v>
      </c>
      <c r="AN125" s="137">
        <f t="shared" si="102"/>
        <v>0</v>
      </c>
      <c r="AO125" s="137">
        <f t="shared" si="102"/>
        <v>0</v>
      </c>
      <c r="AP125" s="137">
        <f t="shared" si="102"/>
        <v>0</v>
      </c>
      <c r="AQ125" s="137">
        <f t="shared" si="102"/>
        <v>0</v>
      </c>
      <c r="AR125" s="137">
        <f t="shared" si="102"/>
        <v>0</v>
      </c>
      <c r="AS125" s="137">
        <f t="shared" si="102"/>
        <v>0</v>
      </c>
      <c r="AT125" s="137">
        <f t="shared" si="102"/>
        <v>0</v>
      </c>
      <c r="AU125" s="137">
        <f t="shared" si="102"/>
        <v>0</v>
      </c>
      <c r="AV125" s="137">
        <f t="shared" si="102"/>
        <v>0</v>
      </c>
      <c r="AW125" s="137">
        <f t="shared" si="102"/>
        <v>0</v>
      </c>
      <c r="AX125" s="137">
        <f t="shared" si="102"/>
        <v>0</v>
      </c>
      <c r="AY125" s="137">
        <f t="shared" si="102"/>
        <v>0</v>
      </c>
      <c r="AZ125" s="137">
        <f t="shared" si="102"/>
        <v>0</v>
      </c>
      <c r="BA125" s="137">
        <f t="shared" si="102"/>
        <v>0</v>
      </c>
      <c r="BB125" s="137">
        <f t="shared" si="102"/>
        <v>0</v>
      </c>
      <c r="BC125" s="137">
        <f t="shared" si="102"/>
        <v>0</v>
      </c>
      <c r="BD125" s="137">
        <f t="shared" si="102"/>
        <v>0</v>
      </c>
      <c r="BE125" s="137">
        <f t="shared" si="102"/>
        <v>0</v>
      </c>
      <c r="BF125" s="137">
        <f t="shared" si="102"/>
        <v>0</v>
      </c>
      <c r="BG125" s="137">
        <f t="shared" si="102"/>
        <v>0</v>
      </c>
      <c r="BH125" s="137">
        <f t="shared" si="102"/>
        <v>0</v>
      </c>
      <c r="BI125" s="137">
        <f t="shared" si="102"/>
        <v>0</v>
      </c>
      <c r="BJ125" s="137">
        <f t="shared" si="102"/>
        <v>0</v>
      </c>
      <c r="BK125" s="137">
        <f t="shared" si="102"/>
        <v>0</v>
      </c>
      <c r="BL125" s="137">
        <f t="shared" si="102"/>
        <v>0</v>
      </c>
      <c r="BM125" s="137">
        <f t="shared" si="102"/>
        <v>0</v>
      </c>
      <c r="BN125" s="137">
        <f t="shared" si="102"/>
        <v>0</v>
      </c>
      <c r="BO125" s="137">
        <f t="shared" si="102"/>
        <v>0</v>
      </c>
      <c r="BP125" s="137">
        <f t="shared" si="102"/>
        <v>0</v>
      </c>
    </row>
    <row r="126" spans="1:68" outlineLevel="1" x14ac:dyDescent="0.35">
      <c r="A126" t="s">
        <v>12</v>
      </c>
      <c r="C126" t="s">
        <v>275</v>
      </c>
      <c r="D126" t="s">
        <v>227</v>
      </c>
      <c r="E126">
        <f t="shared" si="85"/>
        <v>0</v>
      </c>
      <c r="F126">
        <f t="shared" si="76"/>
        <v>0</v>
      </c>
      <c r="G126">
        <f t="shared" si="77"/>
        <v>0</v>
      </c>
      <c r="H126" s="121">
        <v>1</v>
      </c>
      <c r="I126" s="121">
        <f t="shared" si="78"/>
        <v>0</v>
      </c>
      <c r="Q126" s="182">
        <f t="shared" si="100"/>
        <v>579744</v>
      </c>
      <c r="R126" s="137">
        <f t="shared" ref="R126:BP126" si="103">SUMIF(R71:R76,"-",$K$71:$K$76)*176*54</f>
        <v>28512</v>
      </c>
      <c r="S126" s="137">
        <f t="shared" si="103"/>
        <v>28512</v>
      </c>
      <c r="T126" s="137">
        <f t="shared" si="103"/>
        <v>28512</v>
      </c>
      <c r="U126" s="137">
        <f t="shared" si="103"/>
        <v>28512</v>
      </c>
      <c r="V126" s="137">
        <f t="shared" si="103"/>
        <v>0</v>
      </c>
      <c r="W126" s="137">
        <f t="shared" si="103"/>
        <v>0</v>
      </c>
      <c r="X126" s="137">
        <f t="shared" si="103"/>
        <v>9504</v>
      </c>
      <c r="Y126" s="137">
        <f t="shared" si="103"/>
        <v>9504</v>
      </c>
      <c r="Z126" s="137">
        <f t="shared" si="103"/>
        <v>9504</v>
      </c>
      <c r="AA126" s="137">
        <f t="shared" si="103"/>
        <v>9504</v>
      </c>
      <c r="AB126" s="137">
        <f t="shared" si="103"/>
        <v>0</v>
      </c>
      <c r="AC126" s="137">
        <f t="shared" si="103"/>
        <v>0</v>
      </c>
      <c r="AD126" s="137">
        <f t="shared" si="103"/>
        <v>0</v>
      </c>
      <c r="AE126" s="137">
        <f t="shared" si="103"/>
        <v>19008</v>
      </c>
      <c r="AF126" s="137">
        <f t="shared" si="103"/>
        <v>19008</v>
      </c>
      <c r="AG126" s="137">
        <f t="shared" si="103"/>
        <v>19008</v>
      </c>
      <c r="AH126" s="137">
        <f t="shared" si="103"/>
        <v>19008</v>
      </c>
      <c r="AI126" s="137">
        <f t="shared" si="103"/>
        <v>19008</v>
      </c>
      <c r="AJ126" s="137">
        <f t="shared" si="103"/>
        <v>19008</v>
      </c>
      <c r="AK126" s="137">
        <f t="shared" si="103"/>
        <v>47520</v>
      </c>
      <c r="AL126" s="137">
        <f t="shared" si="103"/>
        <v>47520</v>
      </c>
      <c r="AM126" s="137">
        <f t="shared" si="103"/>
        <v>47520</v>
      </c>
      <c r="AN126" s="137">
        <f t="shared" si="103"/>
        <v>47520</v>
      </c>
      <c r="AO126" s="137">
        <f t="shared" si="103"/>
        <v>47520</v>
      </c>
      <c r="AP126" s="137">
        <f t="shared" si="103"/>
        <v>47520</v>
      </c>
      <c r="AQ126" s="137">
        <f t="shared" si="103"/>
        <v>28512</v>
      </c>
      <c r="AR126" s="137">
        <f t="shared" si="103"/>
        <v>0</v>
      </c>
      <c r="AS126" s="137">
        <f t="shared" si="103"/>
        <v>0</v>
      </c>
      <c r="AT126" s="137">
        <f t="shared" si="103"/>
        <v>0</v>
      </c>
      <c r="AU126" s="137">
        <f t="shared" si="103"/>
        <v>0</v>
      </c>
      <c r="AV126" s="137">
        <f t="shared" si="103"/>
        <v>0</v>
      </c>
      <c r="AW126" s="137">
        <f t="shared" si="103"/>
        <v>0</v>
      </c>
      <c r="AX126" s="137">
        <f t="shared" si="103"/>
        <v>0</v>
      </c>
      <c r="AY126" s="137">
        <f t="shared" si="103"/>
        <v>0</v>
      </c>
      <c r="AZ126" s="137">
        <f t="shared" si="103"/>
        <v>0</v>
      </c>
      <c r="BA126" s="137">
        <f t="shared" si="103"/>
        <v>0</v>
      </c>
      <c r="BB126" s="137">
        <f t="shared" si="103"/>
        <v>0</v>
      </c>
      <c r="BC126" s="137">
        <f t="shared" si="103"/>
        <v>0</v>
      </c>
      <c r="BD126" s="137">
        <f t="shared" si="103"/>
        <v>0</v>
      </c>
      <c r="BE126" s="137">
        <f t="shared" si="103"/>
        <v>0</v>
      </c>
      <c r="BF126" s="137">
        <f t="shared" si="103"/>
        <v>0</v>
      </c>
      <c r="BG126" s="137">
        <f t="shared" si="103"/>
        <v>0</v>
      </c>
      <c r="BH126" s="137">
        <f t="shared" si="103"/>
        <v>0</v>
      </c>
      <c r="BI126" s="137">
        <f t="shared" si="103"/>
        <v>0</v>
      </c>
      <c r="BJ126" s="137">
        <f t="shared" si="103"/>
        <v>0</v>
      </c>
      <c r="BK126" s="137">
        <f t="shared" si="103"/>
        <v>0</v>
      </c>
      <c r="BL126" s="137">
        <f t="shared" si="103"/>
        <v>0</v>
      </c>
      <c r="BM126" s="137">
        <f t="shared" si="103"/>
        <v>0</v>
      </c>
      <c r="BN126" s="137">
        <f t="shared" si="103"/>
        <v>0</v>
      </c>
      <c r="BO126" s="137">
        <f t="shared" si="103"/>
        <v>0</v>
      </c>
      <c r="BP126" s="137">
        <f t="shared" si="103"/>
        <v>0</v>
      </c>
    </row>
    <row r="127" spans="1:68" outlineLevel="1" x14ac:dyDescent="0.35">
      <c r="A127" t="s">
        <v>12</v>
      </c>
      <c r="C127" t="s">
        <v>275</v>
      </c>
      <c r="D127" t="s">
        <v>279</v>
      </c>
      <c r="E127">
        <f t="shared" si="85"/>
        <v>0</v>
      </c>
      <c r="F127">
        <f t="shared" si="76"/>
        <v>0</v>
      </c>
      <c r="G127">
        <f t="shared" si="77"/>
        <v>0</v>
      </c>
      <c r="H127" s="121">
        <v>1</v>
      </c>
      <c r="I127" s="121">
        <f t="shared" si="78"/>
        <v>0</v>
      </c>
      <c r="Q127" s="182">
        <f t="shared" si="100"/>
        <v>57024</v>
      </c>
      <c r="R127" s="137">
        <f t="shared" ref="R127:BP127" si="104">SUMIF(R93:R95,"-",$K$93:$K$95)*176*54</f>
        <v>0</v>
      </c>
      <c r="S127" s="137">
        <f t="shared" si="104"/>
        <v>0</v>
      </c>
      <c r="T127" s="137">
        <f t="shared" si="104"/>
        <v>0</v>
      </c>
      <c r="U127" s="137">
        <f t="shared" si="104"/>
        <v>0</v>
      </c>
      <c r="V127" s="137">
        <f t="shared" si="104"/>
        <v>0</v>
      </c>
      <c r="W127" s="137">
        <f t="shared" si="104"/>
        <v>0</v>
      </c>
      <c r="X127" s="137">
        <f t="shared" si="104"/>
        <v>0</v>
      </c>
      <c r="Y127" s="137">
        <f t="shared" si="104"/>
        <v>0</v>
      </c>
      <c r="Z127" s="137">
        <f t="shared" si="104"/>
        <v>0</v>
      </c>
      <c r="AA127" s="137">
        <f t="shared" si="104"/>
        <v>0</v>
      </c>
      <c r="AB127" s="137">
        <f t="shared" si="104"/>
        <v>0</v>
      </c>
      <c r="AC127" s="137">
        <f t="shared" si="104"/>
        <v>0</v>
      </c>
      <c r="AD127" s="137">
        <f t="shared" si="104"/>
        <v>0</v>
      </c>
      <c r="AE127" s="137">
        <f t="shared" si="104"/>
        <v>19008</v>
      </c>
      <c r="AF127" s="137">
        <f t="shared" si="104"/>
        <v>38016</v>
      </c>
      <c r="AG127" s="137">
        <f t="shared" si="104"/>
        <v>0</v>
      </c>
      <c r="AH127" s="137">
        <f t="shared" si="104"/>
        <v>0</v>
      </c>
      <c r="AI127" s="137">
        <f t="shared" si="104"/>
        <v>0</v>
      </c>
      <c r="AJ127" s="137">
        <f t="shared" si="104"/>
        <v>0</v>
      </c>
      <c r="AK127" s="137">
        <f t="shared" si="104"/>
        <v>0</v>
      </c>
      <c r="AL127" s="137">
        <f t="shared" si="104"/>
        <v>0</v>
      </c>
      <c r="AM127" s="137">
        <f t="shared" si="104"/>
        <v>0</v>
      </c>
      <c r="AN127" s="137">
        <f t="shared" si="104"/>
        <v>0</v>
      </c>
      <c r="AO127" s="137">
        <f t="shared" si="104"/>
        <v>0</v>
      </c>
      <c r="AP127" s="137">
        <f t="shared" si="104"/>
        <v>0</v>
      </c>
      <c r="AQ127" s="137">
        <f t="shared" si="104"/>
        <v>0</v>
      </c>
      <c r="AR127" s="137">
        <f t="shared" si="104"/>
        <v>0</v>
      </c>
      <c r="AS127" s="137">
        <f t="shared" si="104"/>
        <v>0</v>
      </c>
      <c r="AT127" s="137">
        <f t="shared" si="104"/>
        <v>0</v>
      </c>
      <c r="AU127" s="137">
        <f t="shared" si="104"/>
        <v>0</v>
      </c>
      <c r="AV127" s="137">
        <f t="shared" si="104"/>
        <v>0</v>
      </c>
      <c r="AW127" s="137">
        <f t="shared" si="104"/>
        <v>0</v>
      </c>
      <c r="AX127" s="137">
        <f t="shared" si="104"/>
        <v>0</v>
      </c>
      <c r="AY127" s="137">
        <f t="shared" si="104"/>
        <v>0</v>
      </c>
      <c r="AZ127" s="137">
        <f t="shared" si="104"/>
        <v>0</v>
      </c>
      <c r="BA127" s="137">
        <f t="shared" si="104"/>
        <v>0</v>
      </c>
      <c r="BB127" s="137">
        <f t="shared" si="104"/>
        <v>0</v>
      </c>
      <c r="BC127" s="137">
        <f t="shared" si="104"/>
        <v>0</v>
      </c>
      <c r="BD127" s="137">
        <f t="shared" si="104"/>
        <v>0</v>
      </c>
      <c r="BE127" s="137">
        <f t="shared" si="104"/>
        <v>0</v>
      </c>
      <c r="BF127" s="137">
        <f t="shared" si="104"/>
        <v>0</v>
      </c>
      <c r="BG127" s="137">
        <f t="shared" si="104"/>
        <v>0</v>
      </c>
      <c r="BH127" s="137">
        <f t="shared" si="104"/>
        <v>0</v>
      </c>
      <c r="BI127" s="137">
        <f t="shared" si="104"/>
        <v>0</v>
      </c>
      <c r="BJ127" s="137">
        <f t="shared" si="104"/>
        <v>0</v>
      </c>
      <c r="BK127" s="137">
        <f t="shared" si="104"/>
        <v>0</v>
      </c>
      <c r="BL127" s="137">
        <f t="shared" si="104"/>
        <v>0</v>
      </c>
      <c r="BM127" s="137">
        <f t="shared" si="104"/>
        <v>0</v>
      </c>
      <c r="BN127" s="137">
        <f t="shared" si="104"/>
        <v>0</v>
      </c>
      <c r="BO127" s="137">
        <f t="shared" si="104"/>
        <v>0</v>
      </c>
      <c r="BP127" s="137">
        <f t="shared" si="104"/>
        <v>0</v>
      </c>
    </row>
    <row r="128" spans="1:68" outlineLevel="1" x14ac:dyDescent="0.35">
      <c r="A128" t="s">
        <v>12</v>
      </c>
      <c r="C128" t="s">
        <v>275</v>
      </c>
      <c r="D128" t="s">
        <v>278</v>
      </c>
      <c r="E128">
        <f t="shared" si="85"/>
        <v>0</v>
      </c>
      <c r="F128">
        <f t="shared" si="76"/>
        <v>0</v>
      </c>
      <c r="G128">
        <f t="shared" si="77"/>
        <v>0</v>
      </c>
      <c r="H128" s="121">
        <v>1</v>
      </c>
      <c r="I128" s="121">
        <f t="shared" si="78"/>
        <v>0</v>
      </c>
      <c r="Q128" s="182">
        <f t="shared" si="100"/>
        <v>123552</v>
      </c>
      <c r="R128" s="137">
        <f t="shared" ref="R128:BP128" si="105">SUMIF(R97:R97,"-",$K$97:$K$97)*176*27</f>
        <v>4752</v>
      </c>
      <c r="S128" s="137">
        <f t="shared" si="105"/>
        <v>4752</v>
      </c>
      <c r="T128" s="137">
        <f t="shared" si="105"/>
        <v>4752</v>
      </c>
      <c r="U128" s="137">
        <f t="shared" si="105"/>
        <v>4752</v>
      </c>
      <c r="V128" s="137">
        <f t="shared" si="105"/>
        <v>4752</v>
      </c>
      <c r="W128" s="137">
        <f t="shared" si="105"/>
        <v>4752</v>
      </c>
      <c r="X128" s="137">
        <f t="shared" si="105"/>
        <v>4752</v>
      </c>
      <c r="Y128" s="137">
        <f t="shared" si="105"/>
        <v>4752</v>
      </c>
      <c r="Z128" s="137">
        <f t="shared" si="105"/>
        <v>4752</v>
      </c>
      <c r="AA128" s="137">
        <f t="shared" si="105"/>
        <v>4752</v>
      </c>
      <c r="AB128" s="137">
        <f t="shared" si="105"/>
        <v>4752</v>
      </c>
      <c r="AC128" s="137">
        <f t="shared" si="105"/>
        <v>4752</v>
      </c>
      <c r="AD128" s="137">
        <f t="shared" si="105"/>
        <v>4752</v>
      </c>
      <c r="AE128" s="137">
        <f t="shared" si="105"/>
        <v>4752</v>
      </c>
      <c r="AF128" s="137">
        <f t="shared" si="105"/>
        <v>4752</v>
      </c>
      <c r="AG128" s="137">
        <f t="shared" si="105"/>
        <v>4752</v>
      </c>
      <c r="AH128" s="137">
        <f t="shared" si="105"/>
        <v>4752</v>
      </c>
      <c r="AI128" s="137">
        <f t="shared" si="105"/>
        <v>4752</v>
      </c>
      <c r="AJ128" s="137">
        <f t="shared" si="105"/>
        <v>4752</v>
      </c>
      <c r="AK128" s="137">
        <f t="shared" si="105"/>
        <v>4752</v>
      </c>
      <c r="AL128" s="137">
        <f t="shared" si="105"/>
        <v>4752</v>
      </c>
      <c r="AM128" s="137">
        <f t="shared" si="105"/>
        <v>4752</v>
      </c>
      <c r="AN128" s="137">
        <f t="shared" si="105"/>
        <v>4752</v>
      </c>
      <c r="AO128" s="137">
        <f t="shared" si="105"/>
        <v>4752</v>
      </c>
      <c r="AP128" s="137">
        <f t="shared" si="105"/>
        <v>4752</v>
      </c>
      <c r="AQ128" s="137">
        <f t="shared" si="105"/>
        <v>4752</v>
      </c>
      <c r="AR128" s="137">
        <f t="shared" si="105"/>
        <v>0</v>
      </c>
      <c r="AS128" s="137">
        <f t="shared" si="105"/>
        <v>0</v>
      </c>
      <c r="AT128" s="137">
        <f t="shared" si="105"/>
        <v>0</v>
      </c>
      <c r="AU128" s="137">
        <f t="shared" si="105"/>
        <v>0</v>
      </c>
      <c r="AV128" s="137">
        <f t="shared" si="105"/>
        <v>0</v>
      </c>
      <c r="AW128" s="137">
        <f t="shared" si="105"/>
        <v>0</v>
      </c>
      <c r="AX128" s="137">
        <f t="shared" si="105"/>
        <v>0</v>
      </c>
      <c r="AY128" s="137">
        <f t="shared" si="105"/>
        <v>0</v>
      </c>
      <c r="AZ128" s="137">
        <f t="shared" si="105"/>
        <v>0</v>
      </c>
      <c r="BA128" s="137">
        <f t="shared" si="105"/>
        <v>0</v>
      </c>
      <c r="BB128" s="137">
        <f t="shared" si="105"/>
        <v>0</v>
      </c>
      <c r="BC128" s="137">
        <f t="shared" si="105"/>
        <v>0</v>
      </c>
      <c r="BD128" s="137">
        <f t="shared" si="105"/>
        <v>0</v>
      </c>
      <c r="BE128" s="137">
        <f t="shared" si="105"/>
        <v>0</v>
      </c>
      <c r="BF128" s="137">
        <f t="shared" si="105"/>
        <v>0</v>
      </c>
      <c r="BG128" s="137">
        <f t="shared" si="105"/>
        <v>0</v>
      </c>
      <c r="BH128" s="137">
        <f t="shared" si="105"/>
        <v>0</v>
      </c>
      <c r="BI128" s="137">
        <f t="shared" si="105"/>
        <v>0</v>
      </c>
      <c r="BJ128" s="137">
        <f t="shared" si="105"/>
        <v>0</v>
      </c>
      <c r="BK128" s="137">
        <f t="shared" si="105"/>
        <v>0</v>
      </c>
      <c r="BL128" s="137">
        <f t="shared" si="105"/>
        <v>0</v>
      </c>
      <c r="BM128" s="137">
        <f t="shared" si="105"/>
        <v>0</v>
      </c>
      <c r="BN128" s="137">
        <f t="shared" si="105"/>
        <v>0</v>
      </c>
      <c r="BO128" s="137">
        <f t="shared" si="105"/>
        <v>0</v>
      </c>
      <c r="BP128" s="137">
        <f t="shared" si="105"/>
        <v>0</v>
      </c>
    </row>
    <row r="129" spans="1:68" outlineLevel="1" x14ac:dyDescent="0.35">
      <c r="A129" t="s">
        <v>12</v>
      </c>
      <c r="C129" t="s">
        <v>275</v>
      </c>
      <c r="D129" t="s">
        <v>280</v>
      </c>
      <c r="E129">
        <f t="shared" si="85"/>
        <v>0</v>
      </c>
      <c r="F129">
        <f t="shared" si="76"/>
        <v>0</v>
      </c>
      <c r="G129">
        <f t="shared" si="77"/>
        <v>0</v>
      </c>
      <c r="H129" s="121">
        <v>1</v>
      </c>
      <c r="I129" s="121">
        <f t="shared" si="78"/>
        <v>0</v>
      </c>
      <c r="Q129" s="182">
        <f t="shared" si="100"/>
        <v>85536</v>
      </c>
      <c r="R129" s="137">
        <f t="shared" ref="R129:BP129" si="106">SUMIF(R99:R101,"-",$K$99:$K$101)*176*54</f>
        <v>0</v>
      </c>
      <c r="S129" s="137">
        <f t="shared" si="106"/>
        <v>0</v>
      </c>
      <c r="T129" s="137">
        <f t="shared" si="106"/>
        <v>0</v>
      </c>
      <c r="U129" s="137">
        <f t="shared" si="106"/>
        <v>0</v>
      </c>
      <c r="V129" s="137">
        <f t="shared" si="106"/>
        <v>0</v>
      </c>
      <c r="W129" s="137">
        <f t="shared" si="106"/>
        <v>0</v>
      </c>
      <c r="X129" s="137">
        <f t="shared" si="106"/>
        <v>0</v>
      </c>
      <c r="Y129" s="137">
        <f t="shared" si="106"/>
        <v>0</v>
      </c>
      <c r="Z129" s="137">
        <f t="shared" si="106"/>
        <v>0</v>
      </c>
      <c r="AA129" s="137">
        <f t="shared" si="106"/>
        <v>0</v>
      </c>
      <c r="AB129" s="137">
        <f t="shared" si="106"/>
        <v>9504</v>
      </c>
      <c r="AC129" s="137">
        <f t="shared" si="106"/>
        <v>0</v>
      </c>
      <c r="AD129" s="137">
        <f t="shared" si="106"/>
        <v>0</v>
      </c>
      <c r="AE129" s="137">
        <f t="shared" si="106"/>
        <v>0</v>
      </c>
      <c r="AF129" s="137">
        <f t="shared" si="106"/>
        <v>0</v>
      </c>
      <c r="AG129" s="137">
        <f t="shared" si="106"/>
        <v>0</v>
      </c>
      <c r="AH129" s="137">
        <f t="shared" si="106"/>
        <v>0</v>
      </c>
      <c r="AI129" s="137">
        <f t="shared" si="106"/>
        <v>0</v>
      </c>
      <c r="AJ129" s="137">
        <f t="shared" si="106"/>
        <v>0</v>
      </c>
      <c r="AK129" s="137">
        <f t="shared" si="106"/>
        <v>0</v>
      </c>
      <c r="AL129" s="137">
        <f t="shared" si="106"/>
        <v>0</v>
      </c>
      <c r="AM129" s="137">
        <f t="shared" si="106"/>
        <v>19008</v>
      </c>
      <c r="AN129" s="137">
        <f t="shared" si="106"/>
        <v>19008</v>
      </c>
      <c r="AO129" s="137">
        <f t="shared" si="106"/>
        <v>19008</v>
      </c>
      <c r="AP129" s="137">
        <f t="shared" si="106"/>
        <v>19008</v>
      </c>
      <c r="AQ129" s="137">
        <f t="shared" si="106"/>
        <v>0</v>
      </c>
      <c r="AR129" s="137">
        <f t="shared" si="106"/>
        <v>0</v>
      </c>
      <c r="AS129" s="137">
        <f t="shared" si="106"/>
        <v>0</v>
      </c>
      <c r="AT129" s="137">
        <f t="shared" si="106"/>
        <v>0</v>
      </c>
      <c r="AU129" s="137">
        <f t="shared" si="106"/>
        <v>0</v>
      </c>
      <c r="AV129" s="137">
        <f t="shared" si="106"/>
        <v>0</v>
      </c>
      <c r="AW129" s="137">
        <f t="shared" si="106"/>
        <v>0</v>
      </c>
      <c r="AX129" s="137">
        <f t="shared" si="106"/>
        <v>0</v>
      </c>
      <c r="AY129" s="137">
        <f t="shared" si="106"/>
        <v>0</v>
      </c>
      <c r="AZ129" s="137">
        <f t="shared" si="106"/>
        <v>0</v>
      </c>
      <c r="BA129" s="137">
        <f t="shared" si="106"/>
        <v>0</v>
      </c>
      <c r="BB129" s="137">
        <f t="shared" si="106"/>
        <v>0</v>
      </c>
      <c r="BC129" s="137">
        <f t="shared" si="106"/>
        <v>0</v>
      </c>
      <c r="BD129" s="137">
        <f t="shared" si="106"/>
        <v>0</v>
      </c>
      <c r="BE129" s="137">
        <f t="shared" si="106"/>
        <v>0</v>
      </c>
      <c r="BF129" s="137">
        <f t="shared" si="106"/>
        <v>0</v>
      </c>
      <c r="BG129" s="137">
        <f t="shared" si="106"/>
        <v>0</v>
      </c>
      <c r="BH129" s="137">
        <f t="shared" si="106"/>
        <v>0</v>
      </c>
      <c r="BI129" s="137">
        <f t="shared" si="106"/>
        <v>0</v>
      </c>
      <c r="BJ129" s="137">
        <f t="shared" si="106"/>
        <v>0</v>
      </c>
      <c r="BK129" s="137">
        <f t="shared" si="106"/>
        <v>0</v>
      </c>
      <c r="BL129" s="137">
        <f t="shared" si="106"/>
        <v>0</v>
      </c>
      <c r="BM129" s="137">
        <f t="shared" si="106"/>
        <v>0</v>
      </c>
      <c r="BN129" s="137">
        <f t="shared" si="106"/>
        <v>0</v>
      </c>
      <c r="BO129" s="137">
        <f t="shared" si="106"/>
        <v>0</v>
      </c>
      <c r="BP129" s="137">
        <f t="shared" si="106"/>
        <v>0</v>
      </c>
    </row>
    <row r="130" spans="1:68" outlineLevel="1" x14ac:dyDescent="0.35">
      <c r="Q130" s="182">
        <f t="shared" si="100"/>
        <v>47520</v>
      </c>
      <c r="R130" s="137">
        <f>SUMIF(R103:R106,"-",$K$103:$K$106)*176*54</f>
        <v>0</v>
      </c>
      <c r="S130" s="137">
        <f t="shared" ref="S130:BP130" si="107">SUMIF(S103:S106,"-",$K$103:$K$106)*176*54</f>
        <v>0</v>
      </c>
      <c r="T130" s="137">
        <f t="shared" si="107"/>
        <v>0</v>
      </c>
      <c r="U130" s="137">
        <f t="shared" si="107"/>
        <v>0</v>
      </c>
      <c r="V130" s="137">
        <f t="shared" si="107"/>
        <v>0</v>
      </c>
      <c r="W130" s="137">
        <f t="shared" si="107"/>
        <v>0</v>
      </c>
      <c r="X130" s="137">
        <f t="shared" si="107"/>
        <v>0</v>
      </c>
      <c r="Y130" s="137">
        <f t="shared" si="107"/>
        <v>0</v>
      </c>
      <c r="Z130" s="137">
        <f t="shared" si="107"/>
        <v>0</v>
      </c>
      <c r="AA130" s="137">
        <f t="shared" si="107"/>
        <v>0</v>
      </c>
      <c r="AB130" s="137">
        <f t="shared" si="107"/>
        <v>9504</v>
      </c>
      <c r="AC130" s="137">
        <f t="shared" si="107"/>
        <v>0</v>
      </c>
      <c r="AD130" s="137">
        <f t="shared" si="107"/>
        <v>0</v>
      </c>
      <c r="AE130" s="137">
        <f t="shared" si="107"/>
        <v>0</v>
      </c>
      <c r="AF130" s="137">
        <f t="shared" si="107"/>
        <v>0</v>
      </c>
      <c r="AG130" s="137">
        <f t="shared" si="107"/>
        <v>0</v>
      </c>
      <c r="AH130" s="137">
        <f t="shared" si="107"/>
        <v>0</v>
      </c>
      <c r="AI130" s="137">
        <f t="shared" si="107"/>
        <v>0</v>
      </c>
      <c r="AJ130" s="137">
        <f t="shared" si="107"/>
        <v>0</v>
      </c>
      <c r="AK130" s="137">
        <f t="shared" si="107"/>
        <v>9504</v>
      </c>
      <c r="AL130" s="137">
        <f t="shared" si="107"/>
        <v>9504</v>
      </c>
      <c r="AM130" s="137">
        <f t="shared" si="107"/>
        <v>19008</v>
      </c>
      <c r="AN130" s="137">
        <f t="shared" si="107"/>
        <v>0</v>
      </c>
      <c r="AO130" s="137">
        <f t="shared" si="107"/>
        <v>0</v>
      </c>
      <c r="AP130" s="137">
        <f t="shared" si="107"/>
        <v>0</v>
      </c>
      <c r="AQ130" s="137">
        <f t="shared" si="107"/>
        <v>0</v>
      </c>
      <c r="AR130" s="137">
        <f t="shared" si="107"/>
        <v>0</v>
      </c>
      <c r="AS130" s="137">
        <f t="shared" si="107"/>
        <v>0</v>
      </c>
      <c r="AT130" s="137">
        <f t="shared" si="107"/>
        <v>0</v>
      </c>
      <c r="AU130" s="137">
        <f t="shared" si="107"/>
        <v>0</v>
      </c>
      <c r="AV130" s="137">
        <f t="shared" si="107"/>
        <v>0</v>
      </c>
      <c r="AW130" s="137">
        <f t="shared" si="107"/>
        <v>0</v>
      </c>
      <c r="AX130" s="137">
        <f t="shared" si="107"/>
        <v>0</v>
      </c>
      <c r="AY130" s="137">
        <f t="shared" si="107"/>
        <v>0</v>
      </c>
      <c r="AZ130" s="137">
        <f t="shared" si="107"/>
        <v>0</v>
      </c>
      <c r="BA130" s="137">
        <f t="shared" si="107"/>
        <v>0</v>
      </c>
      <c r="BB130" s="137">
        <f t="shared" si="107"/>
        <v>0</v>
      </c>
      <c r="BC130" s="137">
        <f t="shared" si="107"/>
        <v>0</v>
      </c>
      <c r="BD130" s="137">
        <f t="shared" si="107"/>
        <v>0</v>
      </c>
      <c r="BE130" s="137">
        <f t="shared" si="107"/>
        <v>0</v>
      </c>
      <c r="BF130" s="137">
        <f t="shared" si="107"/>
        <v>0</v>
      </c>
      <c r="BG130" s="137">
        <f t="shared" si="107"/>
        <v>0</v>
      </c>
      <c r="BH130" s="137">
        <f t="shared" si="107"/>
        <v>0</v>
      </c>
      <c r="BI130" s="137">
        <f t="shared" si="107"/>
        <v>0</v>
      </c>
      <c r="BJ130" s="137">
        <f t="shared" si="107"/>
        <v>0</v>
      </c>
      <c r="BK130" s="137">
        <f t="shared" si="107"/>
        <v>0</v>
      </c>
      <c r="BL130" s="137">
        <f t="shared" si="107"/>
        <v>0</v>
      </c>
      <c r="BM130" s="137">
        <f t="shared" si="107"/>
        <v>0</v>
      </c>
      <c r="BN130" s="137">
        <f t="shared" si="107"/>
        <v>0</v>
      </c>
      <c r="BO130" s="137">
        <f t="shared" si="107"/>
        <v>0</v>
      </c>
      <c r="BP130" s="137">
        <f t="shared" si="107"/>
        <v>0</v>
      </c>
    </row>
    <row r="131" spans="1:68" outlineLevel="1" x14ac:dyDescent="0.35">
      <c r="Q131" s="182">
        <f>SUM(AI131:BH131)</f>
        <v>764640</v>
      </c>
      <c r="R131" s="137">
        <f>SUMIF(R108:R110,"-",$K$108:$K$110)*160*54</f>
        <v>0</v>
      </c>
      <c r="S131" s="137">
        <f t="shared" ref="S131:BP131" si="108">SUMIF(S108:S110,"-",$K$108:$K$110)*160*54</f>
        <v>0</v>
      </c>
      <c r="T131" s="137">
        <f t="shared" si="108"/>
        <v>0</v>
      </c>
      <c r="U131" s="137">
        <f t="shared" si="108"/>
        <v>0</v>
      </c>
      <c r="V131" s="137">
        <f t="shared" si="108"/>
        <v>0</v>
      </c>
      <c r="W131" s="137">
        <f t="shared" si="108"/>
        <v>0</v>
      </c>
      <c r="X131" s="137">
        <f t="shared" si="108"/>
        <v>0</v>
      </c>
      <c r="Y131" s="137">
        <f t="shared" si="108"/>
        <v>0</v>
      </c>
      <c r="Z131" s="137">
        <f t="shared" si="108"/>
        <v>0</v>
      </c>
      <c r="AA131" s="137">
        <f t="shared" si="108"/>
        <v>0</v>
      </c>
      <c r="AB131" s="137">
        <f t="shared" si="108"/>
        <v>0</v>
      </c>
      <c r="AC131" s="137">
        <f t="shared" si="108"/>
        <v>0</v>
      </c>
      <c r="AD131" s="137">
        <f t="shared" si="108"/>
        <v>0</v>
      </c>
      <c r="AE131" s="137">
        <f t="shared" si="108"/>
        <v>0</v>
      </c>
      <c r="AF131" s="137">
        <f t="shared" si="108"/>
        <v>0</v>
      </c>
      <c r="AG131" s="137">
        <f t="shared" si="108"/>
        <v>0</v>
      </c>
      <c r="AH131" s="137">
        <f t="shared" si="108"/>
        <v>0</v>
      </c>
      <c r="AI131" s="137">
        <f t="shared" si="108"/>
        <v>0</v>
      </c>
      <c r="AJ131" s="137">
        <f t="shared" si="108"/>
        <v>0</v>
      </c>
      <c r="AK131" s="137">
        <f t="shared" si="108"/>
        <v>0</v>
      </c>
      <c r="AL131" s="137">
        <f t="shared" si="108"/>
        <v>0</v>
      </c>
      <c r="AM131" s="137">
        <f t="shared" si="108"/>
        <v>0</v>
      </c>
      <c r="AN131" s="137">
        <f t="shared" si="108"/>
        <v>0</v>
      </c>
      <c r="AO131" s="137">
        <f t="shared" si="108"/>
        <v>0</v>
      </c>
      <c r="AP131" s="137">
        <f t="shared" si="108"/>
        <v>0</v>
      </c>
      <c r="AQ131" s="137">
        <f t="shared" si="108"/>
        <v>0</v>
      </c>
      <c r="AR131" s="137">
        <f t="shared" si="108"/>
        <v>0</v>
      </c>
      <c r="AS131" s="137">
        <f t="shared" si="108"/>
        <v>0</v>
      </c>
      <c r="AT131" s="137">
        <f t="shared" si="108"/>
        <v>0</v>
      </c>
      <c r="AU131" s="137">
        <f t="shared" si="108"/>
        <v>77760</v>
      </c>
      <c r="AV131" s="137">
        <f t="shared" si="108"/>
        <v>77760</v>
      </c>
      <c r="AW131" s="137">
        <f t="shared" si="108"/>
        <v>77760</v>
      </c>
      <c r="AX131" s="137">
        <f t="shared" si="108"/>
        <v>56160</v>
      </c>
      <c r="AY131" s="137">
        <f t="shared" si="108"/>
        <v>56160</v>
      </c>
      <c r="AZ131" s="137">
        <f t="shared" si="108"/>
        <v>56160</v>
      </c>
      <c r="BA131" s="137">
        <f t="shared" si="108"/>
        <v>56160</v>
      </c>
      <c r="BB131" s="137">
        <f t="shared" si="108"/>
        <v>56160</v>
      </c>
      <c r="BC131" s="137">
        <f t="shared" si="108"/>
        <v>56160</v>
      </c>
      <c r="BD131" s="137">
        <f t="shared" si="108"/>
        <v>38880</v>
      </c>
      <c r="BE131" s="137">
        <f t="shared" si="108"/>
        <v>38880</v>
      </c>
      <c r="BF131" s="137">
        <f t="shared" si="108"/>
        <v>38880</v>
      </c>
      <c r="BG131" s="137">
        <f t="shared" si="108"/>
        <v>38880</v>
      </c>
      <c r="BH131" s="137">
        <f t="shared" si="108"/>
        <v>38880</v>
      </c>
      <c r="BI131" s="137">
        <f t="shared" si="108"/>
        <v>0</v>
      </c>
      <c r="BJ131" s="137">
        <f t="shared" si="108"/>
        <v>0</v>
      </c>
      <c r="BK131" s="137">
        <f t="shared" si="108"/>
        <v>0</v>
      </c>
      <c r="BL131" s="137">
        <f t="shared" si="108"/>
        <v>0</v>
      </c>
      <c r="BM131" s="137">
        <f t="shared" si="108"/>
        <v>0</v>
      </c>
      <c r="BN131" s="137">
        <f t="shared" si="108"/>
        <v>0</v>
      </c>
      <c r="BO131" s="137">
        <f t="shared" si="108"/>
        <v>0</v>
      </c>
      <c r="BP131" s="137">
        <f t="shared" si="108"/>
        <v>0</v>
      </c>
    </row>
    <row r="132" spans="1:68" x14ac:dyDescent="0.35">
      <c r="A132" s="183"/>
      <c r="B132" s="183"/>
      <c r="C132" s="183"/>
      <c r="D132" s="183"/>
      <c r="E132" s="183"/>
      <c r="F132" s="183" t="s">
        <v>472</v>
      </c>
      <c r="G132" s="183"/>
      <c r="H132" s="184">
        <v>864864</v>
      </c>
      <c r="I132" s="121" t="s">
        <v>473</v>
      </c>
      <c r="L132" s="121" t="s">
        <v>474</v>
      </c>
      <c r="Q132" s="185">
        <f>SUM(Q115:Q131)</f>
        <v>4467906</v>
      </c>
      <c r="R132" s="185">
        <f>SUM(R115:R131)</f>
        <v>115992</v>
      </c>
      <c r="S132" s="185">
        <f t="shared" ref="S132:BP132" si="109">SUM(S115:S131)</f>
        <v>96984</v>
      </c>
      <c r="T132" s="185">
        <f t="shared" si="109"/>
        <v>125496</v>
      </c>
      <c r="U132" s="185">
        <f t="shared" si="109"/>
        <v>155034</v>
      </c>
      <c r="V132" s="185">
        <f t="shared" si="109"/>
        <v>109296</v>
      </c>
      <c r="W132" s="185">
        <f t="shared" si="109"/>
        <v>137808</v>
      </c>
      <c r="X132" s="185">
        <f t="shared" si="109"/>
        <v>128304</v>
      </c>
      <c r="Y132" s="185">
        <f t="shared" si="109"/>
        <v>166320</v>
      </c>
      <c r="Z132" s="185">
        <f t="shared" si="109"/>
        <v>223344</v>
      </c>
      <c r="AA132" s="185">
        <f t="shared" si="109"/>
        <v>147312</v>
      </c>
      <c r="AB132" s="185">
        <f t="shared" si="109"/>
        <v>204336</v>
      </c>
      <c r="AC132" s="185">
        <f t="shared" si="109"/>
        <v>204336</v>
      </c>
      <c r="AD132" s="185">
        <f t="shared" si="109"/>
        <v>166320</v>
      </c>
      <c r="AE132" s="185">
        <f t="shared" si="109"/>
        <v>194832</v>
      </c>
      <c r="AF132" s="185">
        <f t="shared" si="109"/>
        <v>194832</v>
      </c>
      <c r="AG132" s="185">
        <f t="shared" si="109"/>
        <v>128304</v>
      </c>
      <c r="AH132" s="185">
        <f t="shared" si="109"/>
        <v>128304</v>
      </c>
      <c r="AI132" s="185">
        <f t="shared" si="109"/>
        <v>90288</v>
      </c>
      <c r="AJ132" s="185">
        <f t="shared" si="109"/>
        <v>52272</v>
      </c>
      <c r="AK132" s="185">
        <f t="shared" si="109"/>
        <v>99792</v>
      </c>
      <c r="AL132" s="185">
        <f t="shared" si="109"/>
        <v>99792</v>
      </c>
      <c r="AM132" s="185">
        <f t="shared" si="109"/>
        <v>156816</v>
      </c>
      <c r="AN132" s="185">
        <f t="shared" si="109"/>
        <v>99792</v>
      </c>
      <c r="AO132" s="185">
        <f t="shared" si="109"/>
        <v>99792</v>
      </c>
      <c r="AP132" s="185">
        <f t="shared" si="109"/>
        <v>135792</v>
      </c>
      <c r="AQ132" s="185">
        <f t="shared" si="109"/>
        <v>97776</v>
      </c>
      <c r="AR132" s="185">
        <f t="shared" si="109"/>
        <v>36000</v>
      </c>
      <c r="AS132" s="185">
        <f t="shared" si="109"/>
        <v>36000</v>
      </c>
      <c r="AT132" s="185">
        <f t="shared" si="109"/>
        <v>36000</v>
      </c>
      <c r="AU132" s="185">
        <f t="shared" si="109"/>
        <v>113760</v>
      </c>
      <c r="AV132" s="185">
        <f t="shared" si="109"/>
        <v>77760</v>
      </c>
      <c r="AW132" s="185">
        <f t="shared" si="109"/>
        <v>77760</v>
      </c>
      <c r="AX132" s="185">
        <f t="shared" si="109"/>
        <v>56160</v>
      </c>
      <c r="AY132" s="185">
        <f t="shared" si="109"/>
        <v>56160</v>
      </c>
      <c r="AZ132" s="185">
        <f t="shared" si="109"/>
        <v>56160</v>
      </c>
      <c r="BA132" s="185">
        <f t="shared" si="109"/>
        <v>56160</v>
      </c>
      <c r="BB132" s="185">
        <f t="shared" si="109"/>
        <v>56160</v>
      </c>
      <c r="BC132" s="185">
        <f t="shared" si="109"/>
        <v>56160</v>
      </c>
      <c r="BD132" s="185">
        <f t="shared" si="109"/>
        <v>38880</v>
      </c>
      <c r="BE132" s="185">
        <f t="shared" si="109"/>
        <v>38880</v>
      </c>
      <c r="BF132" s="185">
        <f t="shared" si="109"/>
        <v>38880</v>
      </c>
      <c r="BG132" s="185">
        <f t="shared" si="109"/>
        <v>38880</v>
      </c>
      <c r="BH132" s="185">
        <f t="shared" si="109"/>
        <v>38880</v>
      </c>
      <c r="BI132" s="185">
        <f t="shared" si="109"/>
        <v>0</v>
      </c>
      <c r="BJ132" s="185">
        <f t="shared" si="109"/>
        <v>0</v>
      </c>
      <c r="BK132" s="185">
        <f t="shared" si="109"/>
        <v>0</v>
      </c>
      <c r="BL132" s="185">
        <f t="shared" si="109"/>
        <v>0</v>
      </c>
      <c r="BM132" s="185">
        <f t="shared" si="109"/>
        <v>0</v>
      </c>
      <c r="BN132" s="185">
        <f t="shared" si="109"/>
        <v>0</v>
      </c>
      <c r="BO132" s="185">
        <f t="shared" si="109"/>
        <v>0</v>
      </c>
      <c r="BP132" s="185">
        <f t="shared" si="109"/>
        <v>0</v>
      </c>
    </row>
    <row r="133" spans="1:68" x14ac:dyDescent="0.35">
      <c r="A133" s="183"/>
      <c r="B133" s="183"/>
      <c r="C133" s="183"/>
      <c r="D133" s="183"/>
      <c r="E133" s="183"/>
      <c r="F133" s="183" t="s">
        <v>23</v>
      </c>
      <c r="G133" s="183"/>
      <c r="H133" s="184">
        <f ca="1">SUM(I27,I21,I8,I33,I36,I43)</f>
        <v>1545804</v>
      </c>
      <c r="I133" s="186">
        <f ca="1">(H132/2+H133)/I113</f>
        <v>0.44277115714665571</v>
      </c>
      <c r="L133" s="121" t="s">
        <v>475</v>
      </c>
      <c r="R133" s="187">
        <f>R132/20/8/54</f>
        <v>13.425000000000001</v>
      </c>
      <c r="S133" s="187">
        <f t="shared" ref="S133:BH133" si="110">S132/20/8/54</f>
        <v>11.225</v>
      </c>
      <c r="T133" s="187">
        <f t="shared" si="110"/>
        <v>14.525</v>
      </c>
      <c r="U133" s="187">
        <f t="shared" si="110"/>
        <v>17.943749999999998</v>
      </c>
      <c r="V133" s="187">
        <f t="shared" si="110"/>
        <v>12.65</v>
      </c>
      <c r="W133" s="187">
        <f t="shared" si="110"/>
        <v>15.95</v>
      </c>
      <c r="X133" s="187">
        <f t="shared" si="110"/>
        <v>14.85</v>
      </c>
      <c r="Y133" s="187">
        <f t="shared" si="110"/>
        <v>19.25</v>
      </c>
      <c r="Z133" s="187">
        <f t="shared" si="110"/>
        <v>25.85</v>
      </c>
      <c r="AA133" s="187">
        <f t="shared" si="110"/>
        <v>17.05</v>
      </c>
      <c r="AB133" s="187">
        <f t="shared" si="110"/>
        <v>23.65</v>
      </c>
      <c r="AC133" s="187">
        <f t="shared" si="110"/>
        <v>23.65</v>
      </c>
      <c r="AD133" s="187">
        <f t="shared" si="110"/>
        <v>19.25</v>
      </c>
      <c r="AE133" s="187">
        <f t="shared" si="110"/>
        <v>22.55</v>
      </c>
      <c r="AF133" s="187">
        <f t="shared" si="110"/>
        <v>22.55</v>
      </c>
      <c r="AG133" s="187">
        <f t="shared" si="110"/>
        <v>14.85</v>
      </c>
      <c r="AH133" s="187">
        <f t="shared" si="110"/>
        <v>14.85</v>
      </c>
      <c r="AI133" s="187">
        <f t="shared" si="110"/>
        <v>10.45</v>
      </c>
      <c r="AJ133" s="187">
        <f t="shared" si="110"/>
        <v>6.05</v>
      </c>
      <c r="AK133" s="187">
        <f t="shared" si="110"/>
        <v>11.55</v>
      </c>
      <c r="AL133" s="187">
        <f t="shared" si="110"/>
        <v>11.55</v>
      </c>
      <c r="AM133" s="187">
        <f t="shared" si="110"/>
        <v>18.150000000000002</v>
      </c>
      <c r="AN133" s="187">
        <f t="shared" si="110"/>
        <v>11.55</v>
      </c>
      <c r="AO133" s="187">
        <f t="shared" si="110"/>
        <v>11.55</v>
      </c>
      <c r="AP133" s="187">
        <f t="shared" si="110"/>
        <v>15.716666666666667</v>
      </c>
      <c r="AQ133" s="187">
        <f t="shared" si="110"/>
        <v>11.316666666666666</v>
      </c>
      <c r="AR133" s="187">
        <f t="shared" si="110"/>
        <v>4.166666666666667</v>
      </c>
      <c r="AS133" s="187">
        <f t="shared" si="110"/>
        <v>4.166666666666667</v>
      </c>
      <c r="AT133" s="187">
        <f t="shared" si="110"/>
        <v>4.166666666666667</v>
      </c>
      <c r="AU133" s="187">
        <f t="shared" si="110"/>
        <v>13.166666666666666</v>
      </c>
      <c r="AV133" s="187">
        <f t="shared" si="110"/>
        <v>9</v>
      </c>
      <c r="AW133" s="187">
        <f t="shared" si="110"/>
        <v>9</v>
      </c>
      <c r="AX133" s="187">
        <f t="shared" si="110"/>
        <v>6.5</v>
      </c>
      <c r="AY133" s="187">
        <f t="shared" si="110"/>
        <v>6.5</v>
      </c>
      <c r="AZ133" s="187">
        <f t="shared" si="110"/>
        <v>6.5</v>
      </c>
      <c r="BA133" s="187">
        <f t="shared" si="110"/>
        <v>6.5</v>
      </c>
      <c r="BB133" s="187">
        <f t="shared" si="110"/>
        <v>6.5</v>
      </c>
      <c r="BC133" s="187">
        <f t="shared" si="110"/>
        <v>6.5</v>
      </c>
      <c r="BD133" s="187">
        <f t="shared" si="110"/>
        <v>4.5</v>
      </c>
      <c r="BE133" s="187">
        <f t="shared" si="110"/>
        <v>4.5</v>
      </c>
      <c r="BF133" s="187">
        <f t="shared" si="110"/>
        <v>4.5</v>
      </c>
      <c r="BG133" s="187">
        <f t="shared" si="110"/>
        <v>4.5</v>
      </c>
      <c r="BH133" s="187">
        <f t="shared" si="110"/>
        <v>4.5</v>
      </c>
      <c r="BI133" s="124">
        <f t="shared" ref="BI133:BP133" si="111">BI132/9072</f>
        <v>0</v>
      </c>
      <c r="BJ133" s="124">
        <f t="shared" si="111"/>
        <v>0</v>
      </c>
      <c r="BK133" s="124">
        <f t="shared" si="111"/>
        <v>0</v>
      </c>
      <c r="BL133" s="124">
        <f t="shared" si="111"/>
        <v>0</v>
      </c>
      <c r="BM133" s="124">
        <f t="shared" si="111"/>
        <v>0</v>
      </c>
      <c r="BN133" s="124">
        <f t="shared" si="111"/>
        <v>0</v>
      </c>
      <c r="BO133" s="124">
        <f t="shared" si="111"/>
        <v>0</v>
      </c>
      <c r="BP133" s="124">
        <f t="shared" si="111"/>
        <v>0</v>
      </c>
    </row>
    <row r="134" spans="1:68" x14ac:dyDescent="0.35">
      <c r="A134" s="183"/>
      <c r="B134" s="183"/>
      <c r="C134" s="183"/>
      <c r="D134" s="183"/>
      <c r="E134" s="183"/>
      <c r="F134" s="183" t="s">
        <v>12</v>
      </c>
      <c r="G134" s="183"/>
      <c r="H134" s="184">
        <f ca="1">SUM(I46,I62,I70,I93,I98,I102,I107)</f>
        <v>2057184</v>
      </c>
      <c r="I134" s="186">
        <f ca="1">(H132/2+H134)/I113</f>
        <v>0.55722884285334429</v>
      </c>
      <c r="L134" s="119" t="s">
        <v>387</v>
      </c>
      <c r="Q134" s="188">
        <f>SUM(R132:T132)/Q132</f>
        <v>7.575629388800928E-2</v>
      </c>
      <c r="R134" s="188"/>
    </row>
    <row r="135" spans="1:68" x14ac:dyDescent="0.35">
      <c r="L135" s="119" t="s">
        <v>376</v>
      </c>
      <c r="Q135" s="188">
        <f>SUM(U132:AF132)/Q132</f>
        <v>0.45481574589975704</v>
      </c>
    </row>
    <row r="136" spans="1:68" x14ac:dyDescent="0.35">
      <c r="L136" s="119" t="s">
        <v>476</v>
      </c>
      <c r="Q136" s="188">
        <f>SUM(AG132:AR132)/Q132</f>
        <v>0.27411498809509421</v>
      </c>
    </row>
    <row r="137" spans="1:68" x14ac:dyDescent="0.35">
      <c r="L137" s="119" t="s">
        <v>477</v>
      </c>
      <c r="Q137" s="188">
        <f>SUM(AS132:BD132)/Q132</f>
        <v>0.16050471966061955</v>
      </c>
    </row>
    <row r="138" spans="1:68" x14ac:dyDescent="0.35">
      <c r="L138" s="119" t="s">
        <v>478</v>
      </c>
      <c r="Q138" s="188">
        <f>SUM(BE132:BP132)/Q132</f>
        <v>3.4808252456519903E-2</v>
      </c>
    </row>
  </sheetData>
  <autoFilter ref="A3:L134" xr:uid="{89342025-05EC-4FBF-BFCE-FD04C4F062FC}">
    <filterColumn colId="0">
      <filters blank="1">
        <filter val="ERT"/>
        <filter val="General"/>
        <filter val="STEP1"/>
        <filter val="STEP2"/>
      </filters>
    </filterColumn>
    <filterColumn colId="5">
      <filters blank="1">
        <filter val="BGL Provision for support S2K"/>
        <filter val="Bridge diag. And Log connector"/>
        <filter val="Bug-fixing during Pilot Operation"/>
        <filter val="Business Continuity"/>
        <filter val="Conflict Detection"/>
        <filter val="Contingencies"/>
        <filter val="Development"/>
        <filter val="Digital possession + Safety Notes"/>
        <filter val="Documentation"/>
        <filter val="Env. Tuning + Performance assessment"/>
        <filter val="Fixes during integration (Development)"/>
        <filter val="GENERAL"/>
        <filter val="Global data set definition"/>
        <filter val="HMI + Server  team support"/>
        <filter val="HMI bugfixing"/>
        <filter val="HMI Development"/>
        <filter val="HMI System Design"/>
        <filter val="Iconis Product V&amp;V"/>
        <filter val="Iconis Product V&amp;V with EB900 team"/>
        <filter val="Integration with EB900"/>
        <filter val="Integration with EBICOS summary"/>
        <filter val="Light Client int. (Single sign-on for TAS)"/>
        <filter val="Link Interactions technical offer"/>
        <filter val="OPC Kafka adaptator"/>
        <filter val="Program Management"/>
        <filter val="PRSAA"/>
        <filter val="Server Bugfixing"/>
        <filter val="Server Development"/>
        <filter val="Server System Design"/>
        <filter val="STEP1"/>
        <filter val="STEP2"/>
        <filter val="Support during Project Deployment"/>
        <filter val="System Design"/>
        <filter val="System to System Integration ICONIS"/>
        <filter val="TAC"/>
        <filter val="TAPV(PBC+RPC)"/>
        <filter val="Technical Leader"/>
        <filter val="Territory Assignment Areas synchronization"/>
        <filter val="TSR indication integration"/>
        <filter val="V&amp;V preparation"/>
      </filters>
    </filterColumn>
  </autoFilter>
  <mergeCells count="1">
    <mergeCell ref="M2:O2"/>
  </mergeCells>
  <hyperlinks>
    <hyperlink ref="E21" r:id="rId1" display="https://dev.azure.com/alstombologna/TMS Factory/_workitems/edit/118781" xr:uid="{2623CB50-81EE-4F8E-B6AD-D6E30F5764B2}"/>
    <hyperlink ref="E27" r:id="rId2" display="https://dev.azure.com/alstombologna/TMS Factory/_workitems/edit/20827" xr:uid="{819E6275-D2D9-42B8-BD1C-9EE39C93257C}"/>
    <hyperlink ref="E36" r:id="rId3" display="https://dev.azure.com/alstombologna/TMS Factory/_workitems/edit/20794" xr:uid="{38C9C5C3-F3CD-400B-BBC8-7E87C89B9C10}"/>
    <hyperlink ref="E46" r:id="rId4" display="https://dev.azure.com/alstombologna/TMS Factory/_workitems/edit/20822" xr:uid="{681E8D65-15FB-4775-9615-8CC8037759D0}"/>
    <hyperlink ref="E51" r:id="rId5" display="https://dev.azure.com/alstombologna/TMS Factory/_workitems/edit/101039" xr:uid="{5786E66A-5CA8-4BC8-8775-CF0A647B1859}"/>
    <hyperlink ref="E57" r:id="rId6" display="https://dev.azure.com/alstombologna/TMS Factory/_workitems/edit/114898" xr:uid="{B183B7B7-298C-49C1-847C-24A77AE871DB}"/>
    <hyperlink ref="E93" r:id="rId7" display="130487" xr:uid="{E98265D0-4B6B-44D0-8A86-8FEE92A109B4}"/>
    <hyperlink ref="E98" r:id="rId8" display="https://dev.azure.com/alstombologna/TMS Factory/_workitems/edit/51270" xr:uid="{F4532E34-4A6B-4FC3-AEB6-CFD12FCC1B20}"/>
    <hyperlink ref="E91" r:id="rId9" display="https://dev.azure.com/alstombologna/TMS Factory/_workitems/edit/73144" xr:uid="{65CAFE57-1376-41BA-8E21-C8ECF2FFCEAD}"/>
    <hyperlink ref="E87" r:id="rId10" display="https://dev.azure.com/alstombologna/TMS Factory/_workitems/edit/114894" xr:uid="{4FDB19C2-5287-46F0-B451-CF03B93C802E}"/>
    <hyperlink ref="E85" r:id="rId11" display="https://dev.azure.com/alstombologna/TMS Factory/_workitems/edit/108945" xr:uid="{46D816B6-6823-43C8-B89A-365D71E075F7}"/>
    <hyperlink ref="E83" r:id="rId12" display="https://dev.azure.com/alstombologna/TMS Factory/_workitems/edit/101790" xr:uid="{948BD54D-BC59-48DC-B2B8-094DCC0CE5E0}"/>
    <hyperlink ref="E82" r:id="rId13" display="https://dev.azure.com/alstombologna/TMS Factory/_workitems/edit/89186" xr:uid="{92F669F6-122D-4115-BB51-A8AEA501871A}"/>
    <hyperlink ref="E81" r:id="rId14" display="Tag Description 89180" xr:uid="{E075B455-6636-4C87-AEBB-00B250513C83}"/>
    <hyperlink ref="E80" r:id="rId15" display="Tag Description 100558" xr:uid="{AC79AC49-498F-44E1-BC9C-A9BB87D3B73C}"/>
    <hyperlink ref="E79" r:id="rId16" display="Tag Description 5845" xr:uid="{B6475D3B-65B8-406B-8354-696CD9D5B3F2}"/>
    <hyperlink ref="E78" r:id="rId17" display="Tag Description 66033" xr:uid="{FD648E7F-E037-491B-96CF-E4F4570654F8}"/>
    <hyperlink ref="E77" r:id="rId18" display="Tag Description 77213" xr:uid="{EE5E35E3-F9F5-4D4F-A341-14B438295CB8}"/>
    <hyperlink ref="E33" r:id="rId19" display="https://dev.azure.com/alstombologna/TMS Factory/_workitems/edit/101033" xr:uid="{C88E0602-F557-479C-B302-C3101D77015C}"/>
  </hyperlinks>
  <pageMargins left="0.7" right="0.7" top="0.75" bottom="0.75" header="0.3" footer="0.3"/>
  <pageSetup orientation="portrait" r:id="rId20"/>
  <headerFooter>
    <oddHeader>&amp;R&amp;"Calibri"&amp;14&amp;K71BF44 RESTRICTED&amp;1#_x000D_</oddHeader>
  </headerFooter>
  <drawing r:id="rId21"/>
  <legacyDrawing r:id="rId22"/>
  <extLst>
    <ext xmlns:x14="http://schemas.microsoft.com/office/spreadsheetml/2009/9/main" uri="{CCE6A557-97BC-4b89-ADB6-D9C93CAAB3DF}">
      <x14:dataValidations xmlns:xm="http://schemas.microsoft.com/office/excel/2006/main" count="1">
        <x14:dataValidation type="list" allowBlank="1" showInputMessage="1" showErrorMessage="1" xr:uid="{12AB79CE-1468-4649-956E-39B578CD843E}">
          <x14:formula1>
            <xm:f>Team!$C$2:$C$24</xm:f>
          </x14:formula1>
          <xm:sqref>B4:B45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42025-05EC-4FBF-BFCE-FD04C4F062FC}">
  <sheetPr codeName="Sheet7" filterMode="1">
    <outlinePr summaryBelow="0"/>
  </sheetPr>
  <dimension ref="A1:BM101"/>
  <sheetViews>
    <sheetView zoomScale="90" zoomScaleNormal="40" workbookViewId="0">
      <selection activeCell="O90" sqref="O90"/>
    </sheetView>
  </sheetViews>
  <sheetFormatPr defaultRowHeight="14.5" outlineLevelRow="2" outlineLevelCol="2" x14ac:dyDescent="0.35"/>
  <cols>
    <col min="2" max="3" width="35.453125" hidden="1" customWidth="1"/>
    <col min="4" max="4" width="21.54296875" customWidth="1"/>
    <col min="5" max="5" width="23.7265625" customWidth="1" outlineLevel="1"/>
    <col min="6" max="6" width="38.26953125" customWidth="1" outlineLevel="1"/>
    <col min="7" max="7" width="11.54296875" hidden="1" customWidth="1" outlineLevel="1"/>
    <col min="8" max="8" width="11.54296875" style="121" bestFit="1" customWidth="1" outlineLevel="1"/>
    <col min="9" max="9" width="17.26953125" style="121" bestFit="1" customWidth="1" outlineLevel="1"/>
    <col min="10" max="10" width="5.1796875" customWidth="1" outlineLevel="1"/>
    <col min="11" max="11" width="6" style="121" customWidth="1" outlineLevel="1"/>
    <col min="12" max="14" width="14.7265625" style="121" customWidth="1" outlineLevel="2"/>
    <col min="15" max="66" width="6.453125" customWidth="1"/>
  </cols>
  <sheetData>
    <row r="1" spans="1:65" ht="33.65" customHeight="1" x14ac:dyDescent="0.35">
      <c r="O1" s="253">
        <v>2024</v>
      </c>
      <c r="P1" s="253"/>
      <c r="Q1" s="253"/>
      <c r="R1" s="253"/>
      <c r="S1" s="253"/>
      <c r="T1" s="253"/>
      <c r="U1" s="253"/>
      <c r="V1" s="253"/>
      <c r="W1" s="253"/>
      <c r="X1" s="253"/>
      <c r="Y1" s="253"/>
      <c r="Z1" s="253"/>
      <c r="AA1" s="253">
        <v>2025</v>
      </c>
      <c r="AB1" s="253"/>
      <c r="AC1" s="253"/>
      <c r="AD1" s="253"/>
      <c r="AE1" s="253"/>
      <c r="AF1" s="253"/>
      <c r="AG1" s="253"/>
      <c r="AH1" s="253"/>
      <c r="AI1" s="253"/>
      <c r="AJ1" s="253"/>
      <c r="AK1" s="253"/>
      <c r="AL1" s="253"/>
      <c r="AM1" s="253">
        <v>2026</v>
      </c>
      <c r="AN1" s="253"/>
      <c r="AO1" s="253"/>
      <c r="AP1" s="253"/>
      <c r="AQ1" s="253"/>
      <c r="AR1" s="253"/>
      <c r="AS1" s="253"/>
      <c r="AT1" s="253"/>
      <c r="AU1" s="253"/>
      <c r="AV1" s="253"/>
      <c r="AW1" s="253"/>
      <c r="AX1" s="253"/>
    </row>
    <row r="2" spans="1:65" x14ac:dyDescent="0.35">
      <c r="A2" t="s">
        <v>224</v>
      </c>
      <c r="B2" t="s">
        <v>438</v>
      </c>
      <c r="C2" t="s">
        <v>439</v>
      </c>
      <c r="D2" t="s">
        <v>440</v>
      </c>
      <c r="E2" t="s">
        <v>441</v>
      </c>
      <c r="F2" t="s">
        <v>442</v>
      </c>
      <c r="G2" t="s">
        <v>443</v>
      </c>
      <c r="O2" s="252" t="s">
        <v>387</v>
      </c>
      <c r="P2" s="252"/>
      <c r="Q2" s="252"/>
      <c r="R2" s="250" t="s">
        <v>376</v>
      </c>
      <c r="S2" s="250"/>
      <c r="T2" s="250"/>
      <c r="U2" s="250"/>
      <c r="V2" s="250"/>
      <c r="W2" s="250"/>
      <c r="X2" s="250"/>
      <c r="Y2" s="250"/>
      <c r="Z2" s="250"/>
      <c r="AA2" s="250"/>
      <c r="AB2" s="250"/>
      <c r="AC2" s="250"/>
      <c r="AD2" s="251" t="s">
        <v>377</v>
      </c>
      <c r="AE2" s="251"/>
      <c r="AF2" s="251"/>
      <c r="AG2" s="251"/>
      <c r="AH2" s="251"/>
      <c r="AI2" s="251"/>
      <c r="AJ2" s="251"/>
      <c r="AK2" s="251"/>
      <c r="AL2" s="251"/>
      <c r="AM2" s="251"/>
      <c r="AN2" s="251"/>
      <c r="AO2" s="251"/>
    </row>
    <row r="3" spans="1:65" x14ac:dyDescent="0.35">
      <c r="A3" s="12" t="s">
        <v>224</v>
      </c>
      <c r="B3" s="12" t="s">
        <v>197</v>
      </c>
      <c r="C3" s="12" t="s">
        <v>277</v>
      </c>
      <c r="D3" s="12" t="s">
        <v>198</v>
      </c>
      <c r="E3" s="12" t="s">
        <v>2</v>
      </c>
      <c r="F3" s="12" t="s">
        <v>190</v>
      </c>
      <c r="G3" s="12" t="s">
        <v>196</v>
      </c>
      <c r="H3" s="119" t="s">
        <v>351</v>
      </c>
      <c r="I3" s="119" t="s">
        <v>311</v>
      </c>
      <c r="J3" s="12" t="s">
        <v>225</v>
      </c>
      <c r="K3" s="119" t="s">
        <v>392</v>
      </c>
      <c r="L3" s="119" t="s">
        <v>387</v>
      </c>
      <c r="M3" s="119" t="s">
        <v>376</v>
      </c>
      <c r="N3" s="119" t="s">
        <v>377</v>
      </c>
      <c r="O3" s="12" t="s">
        <v>209</v>
      </c>
      <c r="P3" s="12" t="s">
        <v>210</v>
      </c>
      <c r="Q3" s="12" t="s">
        <v>211</v>
      </c>
      <c r="R3" s="12" t="s">
        <v>212</v>
      </c>
      <c r="S3" s="12" t="s">
        <v>216</v>
      </c>
      <c r="T3" s="12" t="s">
        <v>217</v>
      </c>
      <c r="U3" s="12" t="s">
        <v>218</v>
      </c>
      <c r="V3" s="12" t="s">
        <v>219</v>
      </c>
      <c r="W3" s="12" t="s">
        <v>213</v>
      </c>
      <c r="X3" s="12" t="s">
        <v>220</v>
      </c>
      <c r="Y3" s="12" t="s">
        <v>214</v>
      </c>
      <c r="Z3" s="12" t="s">
        <v>215</v>
      </c>
      <c r="AA3" s="12" t="s">
        <v>209</v>
      </c>
      <c r="AB3" s="12" t="s">
        <v>210</v>
      </c>
      <c r="AC3" s="12" t="s">
        <v>211</v>
      </c>
      <c r="AD3" s="12" t="s">
        <v>212</v>
      </c>
      <c r="AE3" s="12" t="s">
        <v>216</v>
      </c>
      <c r="AF3" s="12" t="s">
        <v>217</v>
      </c>
      <c r="AG3" s="12" t="s">
        <v>218</v>
      </c>
      <c r="AH3" s="12" t="s">
        <v>219</v>
      </c>
      <c r="AI3" s="12" t="s">
        <v>213</v>
      </c>
      <c r="AJ3" s="12" t="s">
        <v>220</v>
      </c>
      <c r="AK3" s="12" t="s">
        <v>214</v>
      </c>
      <c r="AL3" s="12" t="s">
        <v>215</v>
      </c>
      <c r="AM3" s="12" t="s">
        <v>209</v>
      </c>
      <c r="AN3" s="12" t="s">
        <v>210</v>
      </c>
      <c r="AO3" s="12" t="s">
        <v>211</v>
      </c>
      <c r="AP3" s="12" t="s">
        <v>212</v>
      </c>
      <c r="AQ3" s="12" t="s">
        <v>216</v>
      </c>
      <c r="AR3" s="12" t="s">
        <v>217</v>
      </c>
      <c r="AS3" s="12" t="s">
        <v>218</v>
      </c>
      <c r="AT3" s="12" t="s">
        <v>219</v>
      </c>
      <c r="AU3" s="12" t="s">
        <v>213</v>
      </c>
      <c r="AV3" s="12" t="s">
        <v>220</v>
      </c>
      <c r="AW3" s="12" t="s">
        <v>214</v>
      </c>
      <c r="AX3" s="12" t="s">
        <v>215</v>
      </c>
    </row>
    <row r="4" spans="1:65" ht="18" customHeight="1" x14ac:dyDescent="0.35">
      <c r="A4" s="12"/>
      <c r="B4" s="12"/>
      <c r="C4" s="12"/>
      <c r="D4" s="12"/>
      <c r="E4" s="12"/>
      <c r="F4" s="12"/>
      <c r="G4" s="12"/>
      <c r="H4" s="119"/>
      <c r="I4" s="119"/>
      <c r="J4" s="12"/>
      <c r="K4" s="119"/>
      <c r="L4" s="119"/>
      <c r="M4" s="119"/>
      <c r="N4" s="119"/>
      <c r="O4" s="126" t="s">
        <v>226</v>
      </c>
      <c r="P4" s="126"/>
      <c r="Q4" s="126"/>
      <c r="R4" s="126"/>
      <c r="S4" s="126"/>
      <c r="T4" s="126"/>
      <c r="U4" s="126"/>
      <c r="V4" s="126"/>
      <c r="W4" s="126"/>
      <c r="X4" s="126"/>
      <c r="Y4" s="126"/>
      <c r="Z4" s="126"/>
      <c r="AA4" s="126"/>
      <c r="AB4" s="125" t="s">
        <v>134</v>
      </c>
      <c r="AC4" s="125"/>
      <c r="AD4" s="125"/>
      <c r="AE4" s="125"/>
      <c r="AF4" s="125"/>
      <c r="AG4" s="125"/>
      <c r="AH4" s="125"/>
      <c r="AI4" s="125"/>
      <c r="AJ4" s="125"/>
      <c r="AK4" s="125"/>
      <c r="AL4" s="125"/>
      <c r="AM4" s="125"/>
      <c r="AN4" s="125"/>
      <c r="AO4" s="125"/>
      <c r="AP4" s="125"/>
      <c r="AQ4" s="125"/>
      <c r="AR4" s="125"/>
      <c r="AS4" s="125"/>
      <c r="AT4" s="12"/>
      <c r="AU4" s="12"/>
      <c r="AV4" s="12"/>
      <c r="AW4" s="12"/>
      <c r="AX4" s="12"/>
    </row>
    <row r="5" spans="1:65" x14ac:dyDescent="0.35">
      <c r="A5" t="s">
        <v>380</v>
      </c>
      <c r="B5" t="s">
        <v>372</v>
      </c>
      <c r="C5" t="s">
        <v>358</v>
      </c>
      <c r="D5" t="s">
        <v>330</v>
      </c>
      <c r="E5" s="12"/>
      <c r="F5" s="13" t="s">
        <v>358</v>
      </c>
      <c r="G5" s="12">
        <f>H5*8</f>
        <v>4576</v>
      </c>
      <c r="H5" s="119">
        <f>K5*22</f>
        <v>572</v>
      </c>
      <c r="I5" s="134">
        <f>54*G5</f>
        <v>247104</v>
      </c>
      <c r="J5" s="12">
        <v>1</v>
      </c>
      <c r="K5" s="119">
        <f>COUNTIF(O5:AX5,"-")</f>
        <v>26</v>
      </c>
      <c r="L5" s="119">
        <f>COUNTIF(O5:Q5,"-")*$J5</f>
        <v>3</v>
      </c>
      <c r="M5" s="119">
        <f>COUNTIF(R5:AC5,"-")*$J5</f>
        <v>12</v>
      </c>
      <c r="N5" s="119">
        <f>COUNTIF(AD5:AN5,"-")*$J5</f>
        <v>11</v>
      </c>
      <c r="O5" s="67" t="s">
        <v>17</v>
      </c>
      <c r="P5" s="67" t="s">
        <v>17</v>
      </c>
      <c r="Q5" s="67" t="s">
        <v>17</v>
      </c>
      <c r="R5" s="67" t="s">
        <v>17</v>
      </c>
      <c r="S5" s="67" t="s">
        <v>17</v>
      </c>
      <c r="T5" s="67" t="s">
        <v>17</v>
      </c>
      <c r="U5" s="67" t="s">
        <v>17</v>
      </c>
      <c r="V5" s="67" t="s">
        <v>17</v>
      </c>
      <c r="W5" s="67" t="s">
        <v>17</v>
      </c>
      <c r="X5" s="67" t="s">
        <v>17</v>
      </c>
      <c r="Y5" s="67" t="s">
        <v>17</v>
      </c>
      <c r="Z5" s="67" t="s">
        <v>17</v>
      </c>
      <c r="AA5" s="67" t="s">
        <v>17</v>
      </c>
      <c r="AB5" s="67" t="s">
        <v>17</v>
      </c>
      <c r="AC5" s="67" t="s">
        <v>17</v>
      </c>
      <c r="AD5" s="67" t="s">
        <v>17</v>
      </c>
      <c r="AE5" s="67" t="s">
        <v>17</v>
      </c>
      <c r="AF5" s="67" t="s">
        <v>17</v>
      </c>
      <c r="AG5" s="67" t="s">
        <v>17</v>
      </c>
      <c r="AH5" s="67" t="s">
        <v>17</v>
      </c>
      <c r="AI5" s="67" t="s">
        <v>17</v>
      </c>
      <c r="AJ5" s="67" t="s">
        <v>17</v>
      </c>
      <c r="AK5" s="67" t="s">
        <v>17</v>
      </c>
      <c r="AL5" s="67" t="s">
        <v>17</v>
      </c>
      <c r="AM5" s="67" t="s">
        <v>17</v>
      </c>
      <c r="AN5" s="67" t="s">
        <v>17</v>
      </c>
      <c r="AO5" s="125"/>
      <c r="AP5" s="125"/>
      <c r="AQ5" s="125"/>
      <c r="AR5" s="125"/>
      <c r="AS5" s="125"/>
      <c r="AT5" s="12"/>
      <c r="AU5" s="12"/>
      <c r="AV5" s="12"/>
      <c r="AW5" s="12"/>
      <c r="AX5" s="12"/>
    </row>
    <row r="6" spans="1:65" x14ac:dyDescent="0.35">
      <c r="A6" t="s">
        <v>380</v>
      </c>
      <c r="B6" t="s">
        <v>373</v>
      </c>
      <c r="C6" t="s">
        <v>331</v>
      </c>
      <c r="D6" t="s">
        <v>331</v>
      </c>
      <c r="E6" s="12"/>
      <c r="F6" s="13" t="s">
        <v>331</v>
      </c>
      <c r="G6" s="12">
        <f t="shared" ref="G6:G7" si="0">H6*8</f>
        <v>4576</v>
      </c>
      <c r="H6" s="119">
        <f t="shared" ref="H6:H7" si="1">K6*22</f>
        <v>572</v>
      </c>
      <c r="I6" s="134">
        <f t="shared" ref="I6:I8" si="2">54*G6</f>
        <v>247104</v>
      </c>
      <c r="J6" s="12">
        <v>1</v>
      </c>
      <c r="K6" s="119">
        <f>COUNTIF(O6:AX6,"-")</f>
        <v>26</v>
      </c>
      <c r="L6" s="119">
        <f>COUNTIF(O6:Q6,"-")*J6</f>
        <v>3</v>
      </c>
      <c r="M6" s="119">
        <f>COUNTIF(R6:AC6,"-")*$J6</f>
        <v>12</v>
      </c>
      <c r="N6" s="119">
        <f>COUNTIF(AD6:AN6,"-")*$J6</f>
        <v>11</v>
      </c>
      <c r="O6" s="67" t="s">
        <v>17</v>
      </c>
      <c r="P6" s="67" t="s">
        <v>17</v>
      </c>
      <c r="Q6" s="67" t="s">
        <v>17</v>
      </c>
      <c r="R6" s="67" t="s">
        <v>17</v>
      </c>
      <c r="S6" s="67" t="s">
        <v>17</v>
      </c>
      <c r="T6" s="67" t="s">
        <v>17</v>
      </c>
      <c r="U6" s="67" t="s">
        <v>17</v>
      </c>
      <c r="V6" s="67" t="s">
        <v>17</v>
      </c>
      <c r="W6" s="67" t="s">
        <v>17</v>
      </c>
      <c r="X6" s="67" t="s">
        <v>17</v>
      </c>
      <c r="Y6" s="67" t="s">
        <v>17</v>
      </c>
      <c r="Z6" s="67" t="s">
        <v>17</v>
      </c>
      <c r="AA6" s="67" t="s">
        <v>17</v>
      </c>
      <c r="AB6" s="67" t="s">
        <v>17</v>
      </c>
      <c r="AC6" s="67" t="s">
        <v>17</v>
      </c>
      <c r="AD6" s="67" t="s">
        <v>17</v>
      </c>
      <c r="AE6" s="67" t="s">
        <v>17</v>
      </c>
      <c r="AF6" s="67" t="s">
        <v>17</v>
      </c>
      <c r="AG6" s="67" t="s">
        <v>17</v>
      </c>
      <c r="AH6" s="67" t="s">
        <v>17</v>
      </c>
      <c r="AI6" s="67" t="s">
        <v>17</v>
      </c>
      <c r="AJ6" s="67" t="s">
        <v>17</v>
      </c>
      <c r="AK6" s="67" t="s">
        <v>17</v>
      </c>
      <c r="AL6" s="67" t="s">
        <v>17</v>
      </c>
      <c r="AM6" s="67" t="s">
        <v>17</v>
      </c>
      <c r="AN6" s="67" t="s">
        <v>17</v>
      </c>
      <c r="AO6" s="125"/>
      <c r="AP6" s="125"/>
      <c r="AQ6" s="125"/>
      <c r="AR6" s="125"/>
      <c r="AS6" s="125"/>
      <c r="AT6" s="12"/>
      <c r="AU6" s="12"/>
      <c r="AV6" s="12"/>
      <c r="AW6" s="12"/>
      <c r="AX6" s="12"/>
    </row>
    <row r="7" spans="1:65" ht="21.65" customHeight="1" x14ac:dyDescent="0.35">
      <c r="A7" t="s">
        <v>380</v>
      </c>
      <c r="B7" s="44" t="s">
        <v>374</v>
      </c>
      <c r="C7" t="s">
        <v>148</v>
      </c>
      <c r="D7" t="s">
        <v>357</v>
      </c>
      <c r="E7" s="12"/>
      <c r="F7" s="13" t="s">
        <v>357</v>
      </c>
      <c r="G7" s="12">
        <f t="shared" si="0"/>
        <v>4576</v>
      </c>
      <c r="H7" s="119">
        <f t="shared" si="1"/>
        <v>572</v>
      </c>
      <c r="I7" s="134">
        <f t="shared" si="2"/>
        <v>247104</v>
      </c>
      <c r="J7" s="12">
        <v>1</v>
      </c>
      <c r="K7" s="119">
        <f>COUNTIF(O7:AX7,"-")</f>
        <v>26</v>
      </c>
      <c r="L7" s="119">
        <f>COUNTIF(O7:Q7,"-")*J7</f>
        <v>3</v>
      </c>
      <c r="M7" s="119">
        <f>COUNTIF(R7:AC7,"-")*$J7</f>
        <v>12</v>
      </c>
      <c r="N7" s="119">
        <f>COUNTIF(AD7:AN7,"-")*$J7</f>
        <v>11</v>
      </c>
      <c r="O7" s="67" t="s">
        <v>17</v>
      </c>
      <c r="P7" s="67" t="s">
        <v>17</v>
      </c>
      <c r="Q7" s="67" t="s">
        <v>17</v>
      </c>
      <c r="R7" s="67" t="s">
        <v>17</v>
      </c>
      <c r="S7" s="67" t="s">
        <v>17</v>
      </c>
      <c r="T7" s="67" t="s">
        <v>17</v>
      </c>
      <c r="U7" s="67" t="s">
        <v>17</v>
      </c>
      <c r="V7" s="67" t="s">
        <v>17</v>
      </c>
      <c r="W7" s="67" t="s">
        <v>17</v>
      </c>
      <c r="X7" s="67" t="s">
        <v>17</v>
      </c>
      <c r="Y7" s="67" t="s">
        <v>17</v>
      </c>
      <c r="Z7" s="67" t="s">
        <v>17</v>
      </c>
      <c r="AA7" s="67" t="s">
        <v>17</v>
      </c>
      <c r="AB7" s="67" t="s">
        <v>17</v>
      </c>
      <c r="AC7" s="67" t="s">
        <v>17</v>
      </c>
      <c r="AD7" s="67" t="s">
        <v>17</v>
      </c>
      <c r="AE7" s="67" t="s">
        <v>17</v>
      </c>
      <c r="AF7" s="67" t="s">
        <v>17</v>
      </c>
      <c r="AG7" s="67" t="s">
        <v>17</v>
      </c>
      <c r="AH7" s="67" t="s">
        <v>17</v>
      </c>
      <c r="AI7" s="67" t="s">
        <v>17</v>
      </c>
      <c r="AJ7" s="67" t="s">
        <v>17</v>
      </c>
      <c r="AK7" s="67" t="s">
        <v>17</v>
      </c>
      <c r="AL7" s="67" t="s">
        <v>17</v>
      </c>
      <c r="AM7" s="67" t="s">
        <v>17</v>
      </c>
      <c r="AN7" s="67" t="s">
        <v>17</v>
      </c>
      <c r="AO7" s="125"/>
      <c r="AP7" s="125"/>
      <c r="AQ7" s="125"/>
      <c r="AR7" s="125"/>
      <c r="AS7" s="125"/>
      <c r="AT7" s="12"/>
      <c r="AU7" s="12"/>
      <c r="AV7" s="12"/>
      <c r="AW7" s="12"/>
      <c r="AX7" s="12"/>
    </row>
    <row r="8" spans="1:65" ht="15" customHeight="1" x14ac:dyDescent="0.35">
      <c r="A8" s="71" t="s">
        <v>23</v>
      </c>
      <c r="B8" s="76"/>
      <c r="C8" s="76" t="s">
        <v>17</v>
      </c>
      <c r="D8" s="71" t="s">
        <v>221</v>
      </c>
      <c r="E8" s="76" t="s">
        <v>233</v>
      </c>
      <c r="F8" s="13" t="s">
        <v>24</v>
      </c>
      <c r="G8" s="12">
        <f>6850</f>
        <v>6850</v>
      </c>
      <c r="H8" s="119">
        <f t="shared" ref="H8:H20" si="3">G8/8</f>
        <v>856.25</v>
      </c>
      <c r="I8" s="134">
        <f t="shared" si="2"/>
        <v>369900</v>
      </c>
      <c r="J8" s="12">
        <v>1</v>
      </c>
      <c r="K8" s="119">
        <f>G8/(J8*8*22)</f>
        <v>38.920454545454547</v>
      </c>
      <c r="L8" s="119">
        <f>SUM(L9:L20)</f>
        <v>6</v>
      </c>
      <c r="M8" s="119">
        <f>SUM(M9:M20)</f>
        <v>32</v>
      </c>
      <c r="N8" s="119">
        <f>SUM(N9:N20)</f>
        <v>0</v>
      </c>
      <c r="O8" s="67" t="s">
        <v>17</v>
      </c>
      <c r="P8" s="67" t="s">
        <v>17</v>
      </c>
      <c r="Q8" s="67" t="s">
        <v>17</v>
      </c>
      <c r="R8" s="67" t="s">
        <v>17</v>
      </c>
      <c r="S8" s="67" t="s">
        <v>17</v>
      </c>
      <c r="T8" s="67" t="s">
        <v>17</v>
      </c>
      <c r="U8" s="67" t="s">
        <v>17</v>
      </c>
      <c r="V8" s="67" t="s">
        <v>17</v>
      </c>
      <c r="W8" s="67" t="s">
        <v>17</v>
      </c>
      <c r="X8" s="67" t="s">
        <v>17</v>
      </c>
      <c r="Y8" s="67" t="s">
        <v>17</v>
      </c>
      <c r="Z8" s="67" t="s">
        <v>17</v>
      </c>
      <c r="AA8" s="67" t="s">
        <v>17</v>
      </c>
      <c r="AB8" s="67" t="s">
        <v>17</v>
      </c>
      <c r="AC8" s="67" t="s">
        <v>17</v>
      </c>
    </row>
    <row r="9" spans="1:65" ht="20.149999999999999" customHeight="1" outlineLevel="1" x14ac:dyDescent="0.35">
      <c r="A9" s="71" t="s">
        <v>23</v>
      </c>
      <c r="B9" s="71" t="s">
        <v>360</v>
      </c>
      <c r="C9" s="71" t="s">
        <v>198</v>
      </c>
      <c r="D9" s="71" t="s">
        <v>221</v>
      </c>
      <c r="E9" s="71"/>
      <c r="F9" s="72" t="s">
        <v>200</v>
      </c>
      <c r="G9" s="66">
        <v>400</v>
      </c>
      <c r="H9" s="120">
        <f t="shared" si="3"/>
        <v>50</v>
      </c>
      <c r="I9" s="135"/>
      <c r="J9" s="66">
        <v>1</v>
      </c>
      <c r="K9" s="120">
        <v>2.5</v>
      </c>
      <c r="L9" s="119">
        <f t="shared" ref="L9:L20" si="4">COUNTIF(O9:Q9,"-")*J9</f>
        <v>3</v>
      </c>
      <c r="M9" s="119">
        <f t="shared" ref="M9:M20" si="5">COUNTIF(R9:AC9,"-")*$J9</f>
        <v>0</v>
      </c>
      <c r="N9" s="119">
        <f t="shared" ref="N9:N20" si="6">COUNTIF(AD9:AN9,"-")*$J9</f>
        <v>0</v>
      </c>
      <c r="O9" s="68" t="s">
        <v>17</v>
      </c>
      <c r="P9" s="68" t="s">
        <v>17</v>
      </c>
      <c r="Q9" s="68" t="s">
        <v>17</v>
      </c>
    </row>
    <row r="10" spans="1:65" ht="20.149999999999999" customHeight="1" outlineLevel="1" x14ac:dyDescent="0.35">
      <c r="A10" s="71" t="s">
        <v>23</v>
      </c>
      <c r="B10" s="71" t="s">
        <v>360</v>
      </c>
      <c r="C10" s="71" t="s">
        <v>198</v>
      </c>
      <c r="D10" s="71" t="s">
        <v>221</v>
      </c>
      <c r="E10" s="71"/>
      <c r="F10" s="72" t="s">
        <v>207</v>
      </c>
      <c r="G10" s="66">
        <v>500</v>
      </c>
      <c r="H10" s="120">
        <f t="shared" si="3"/>
        <v>62.5</v>
      </c>
      <c r="I10" s="135"/>
      <c r="J10" s="66">
        <v>1</v>
      </c>
      <c r="K10" s="120">
        <v>3.125</v>
      </c>
      <c r="L10" s="119">
        <f t="shared" si="4"/>
        <v>3</v>
      </c>
      <c r="M10" s="119">
        <f t="shared" si="5"/>
        <v>0</v>
      </c>
      <c r="N10" s="119">
        <f t="shared" si="6"/>
        <v>0</v>
      </c>
      <c r="O10" s="68" t="s">
        <v>17</v>
      </c>
      <c r="P10" s="68" t="s">
        <v>17</v>
      </c>
      <c r="Q10" s="68" t="s">
        <v>17</v>
      </c>
      <c r="R10" s="66"/>
      <c r="S10" s="66"/>
      <c r="T10" s="66"/>
      <c r="U10" s="114"/>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row>
    <row r="11" spans="1:65" ht="20.149999999999999" customHeight="1" outlineLevel="1" x14ac:dyDescent="0.35">
      <c r="A11" s="71" t="s">
        <v>23</v>
      </c>
      <c r="B11" s="71" t="s">
        <v>361</v>
      </c>
      <c r="C11" s="71" t="s">
        <v>198</v>
      </c>
      <c r="D11" s="71" t="s">
        <v>221</v>
      </c>
      <c r="E11" s="71"/>
      <c r="F11" s="72" t="s">
        <v>228</v>
      </c>
      <c r="G11" s="66">
        <v>800</v>
      </c>
      <c r="H11" s="120">
        <f t="shared" si="3"/>
        <v>100</v>
      </c>
      <c r="I11" s="135"/>
      <c r="J11" s="66">
        <v>3</v>
      </c>
      <c r="K11" s="120">
        <v>1.6666666666666667</v>
      </c>
      <c r="L11" s="119">
        <f t="shared" si="4"/>
        <v>0</v>
      </c>
      <c r="M11" s="119">
        <f t="shared" si="5"/>
        <v>6</v>
      </c>
      <c r="N11" s="119">
        <f t="shared" si="6"/>
        <v>0</v>
      </c>
      <c r="R11" s="69" t="s">
        <v>17</v>
      </c>
      <c r="S11" s="69" t="s">
        <v>17</v>
      </c>
      <c r="X11" s="66"/>
      <c r="Y11" s="66"/>
      <c r="Z11" s="66"/>
      <c r="AA11" s="66"/>
      <c r="AB11" s="66"/>
      <c r="AC11" s="66"/>
    </row>
    <row r="12" spans="1:65" ht="20.149999999999999" customHeight="1" outlineLevel="1" x14ac:dyDescent="0.35">
      <c r="A12" s="71" t="s">
        <v>23</v>
      </c>
      <c r="B12" s="71" t="s">
        <v>361</v>
      </c>
      <c r="C12" s="71" t="s">
        <v>148</v>
      </c>
      <c r="D12" s="71" t="s">
        <v>221</v>
      </c>
      <c r="E12" s="71"/>
      <c r="F12" s="72" t="s">
        <v>229</v>
      </c>
      <c r="G12" s="66">
        <v>1600</v>
      </c>
      <c r="H12" s="120">
        <f t="shared" si="3"/>
        <v>200</v>
      </c>
      <c r="I12" s="135"/>
      <c r="J12" s="66">
        <v>3</v>
      </c>
      <c r="K12" s="120">
        <v>3.3333333333333335</v>
      </c>
      <c r="L12" s="119">
        <f t="shared" si="4"/>
        <v>0</v>
      </c>
      <c r="M12" s="119">
        <f t="shared" si="5"/>
        <v>12</v>
      </c>
      <c r="N12" s="119">
        <f t="shared" si="6"/>
        <v>0</v>
      </c>
      <c r="T12" s="69" t="s">
        <v>17</v>
      </c>
      <c r="U12" s="69" t="s">
        <v>17</v>
      </c>
      <c r="V12" s="69" t="s">
        <v>17</v>
      </c>
      <c r="W12" s="69" t="s">
        <v>17</v>
      </c>
      <c r="X12" s="66"/>
      <c r="Y12" s="66"/>
      <c r="Z12" s="66"/>
      <c r="AA12" s="66"/>
      <c r="AB12" s="66"/>
      <c r="AC12" s="66"/>
    </row>
    <row r="13" spans="1:65" ht="14.15" customHeight="1" outlineLevel="1" x14ac:dyDescent="0.35">
      <c r="A13" s="71" t="s">
        <v>23</v>
      </c>
      <c r="B13" s="71" t="s">
        <v>263</v>
      </c>
      <c r="C13" s="71" t="s">
        <v>279</v>
      </c>
      <c r="D13" s="71" t="s">
        <v>221</v>
      </c>
      <c r="E13" s="71"/>
      <c r="F13" s="72" t="s">
        <v>248</v>
      </c>
      <c r="G13" s="66">
        <v>0</v>
      </c>
      <c r="H13" s="120">
        <v>0</v>
      </c>
      <c r="I13" s="120"/>
      <c r="J13" s="66">
        <v>0</v>
      </c>
      <c r="K13" s="120">
        <v>0</v>
      </c>
      <c r="L13" s="119">
        <f t="shared" si="4"/>
        <v>0</v>
      </c>
      <c r="M13" s="119">
        <f t="shared" si="5"/>
        <v>0</v>
      </c>
      <c r="N13" s="119">
        <f t="shared" si="6"/>
        <v>0</v>
      </c>
      <c r="U13" s="108" t="s">
        <v>17</v>
      </c>
      <c r="V13" s="66"/>
      <c r="W13" s="66"/>
      <c r="X13" s="66"/>
      <c r="Y13" s="66"/>
      <c r="Z13" s="66"/>
      <c r="AA13" s="66"/>
      <c r="AB13" s="66"/>
      <c r="AC13" s="66"/>
    </row>
    <row r="14" spans="1:65" ht="20.149999999999999" customHeight="1" outlineLevel="1" x14ac:dyDescent="0.35">
      <c r="A14" s="71" t="s">
        <v>23</v>
      </c>
      <c r="B14" s="71" t="s">
        <v>361</v>
      </c>
      <c r="C14" s="71" t="s">
        <v>148</v>
      </c>
      <c r="D14" s="71" t="s">
        <v>221</v>
      </c>
      <c r="E14" s="71"/>
      <c r="F14" s="72" t="s">
        <v>201</v>
      </c>
      <c r="G14" s="66">
        <v>700</v>
      </c>
      <c r="H14" s="120">
        <f t="shared" si="3"/>
        <v>87.5</v>
      </c>
      <c r="I14" s="135"/>
      <c r="J14" s="66">
        <v>2</v>
      </c>
      <c r="K14" s="120">
        <v>2.1875</v>
      </c>
      <c r="L14" s="119">
        <f t="shared" si="4"/>
        <v>0</v>
      </c>
      <c r="M14" s="119">
        <f t="shared" si="5"/>
        <v>6</v>
      </c>
      <c r="N14" s="119">
        <f t="shared" si="6"/>
        <v>0</v>
      </c>
      <c r="V14" s="69" t="s">
        <v>17</v>
      </c>
      <c r="W14" s="69" t="s">
        <v>17</v>
      </c>
      <c r="X14" s="69" t="s">
        <v>17</v>
      </c>
    </row>
    <row r="15" spans="1:65" ht="20.149999999999999" customHeight="1" outlineLevel="1" x14ac:dyDescent="0.35">
      <c r="A15" s="71" t="s">
        <v>23</v>
      </c>
      <c r="B15" s="71" t="s">
        <v>361</v>
      </c>
      <c r="C15" s="71" t="s">
        <v>148</v>
      </c>
      <c r="D15" s="71" t="s">
        <v>221</v>
      </c>
      <c r="E15" s="71"/>
      <c r="F15" s="72" t="s">
        <v>202</v>
      </c>
      <c r="G15" s="66">
        <v>350</v>
      </c>
      <c r="H15" s="120">
        <f t="shared" si="3"/>
        <v>43.75</v>
      </c>
      <c r="I15" s="135"/>
      <c r="J15" s="66">
        <v>1</v>
      </c>
      <c r="K15" s="120">
        <v>2.1875</v>
      </c>
      <c r="L15" s="119">
        <f t="shared" si="4"/>
        <v>0</v>
      </c>
      <c r="M15" s="119">
        <f t="shared" si="5"/>
        <v>3</v>
      </c>
      <c r="N15" s="119">
        <f t="shared" si="6"/>
        <v>0</v>
      </c>
      <c r="W15" s="69" t="s">
        <v>17</v>
      </c>
      <c r="X15" s="69" t="s">
        <v>17</v>
      </c>
      <c r="Y15" s="69" t="s">
        <v>17</v>
      </c>
    </row>
    <row r="16" spans="1:65" ht="20.149999999999999" customHeight="1" outlineLevel="1" x14ac:dyDescent="0.35">
      <c r="A16" s="71" t="s">
        <v>23</v>
      </c>
      <c r="B16" s="71" t="s">
        <v>244</v>
      </c>
      <c r="C16" s="71" t="s">
        <v>278</v>
      </c>
      <c r="D16" s="71" t="s">
        <v>221</v>
      </c>
      <c r="E16" s="71"/>
      <c r="F16" s="72" t="s">
        <v>203</v>
      </c>
      <c r="G16" s="66">
        <v>200</v>
      </c>
      <c r="H16" s="120">
        <f t="shared" si="3"/>
        <v>25</v>
      </c>
      <c r="I16" s="135"/>
      <c r="J16" s="66">
        <v>1</v>
      </c>
      <c r="K16" s="120">
        <v>1.25</v>
      </c>
      <c r="L16" s="119">
        <f t="shared" si="4"/>
        <v>0</v>
      </c>
      <c r="M16" s="119">
        <f t="shared" si="5"/>
        <v>1</v>
      </c>
      <c r="N16" s="119">
        <f t="shared" si="6"/>
        <v>0</v>
      </c>
      <c r="Y16" s="70" t="s">
        <v>17</v>
      </c>
    </row>
    <row r="17" spans="1:29" ht="20.149999999999999" customHeight="1" outlineLevel="1" x14ac:dyDescent="0.35">
      <c r="A17" s="71" t="s">
        <v>23</v>
      </c>
      <c r="B17" s="71" t="s">
        <v>244</v>
      </c>
      <c r="C17" s="71" t="s">
        <v>278</v>
      </c>
      <c r="D17" s="71" t="s">
        <v>221</v>
      </c>
      <c r="E17" s="71"/>
      <c r="F17" s="72" t="s">
        <v>204</v>
      </c>
      <c r="G17" s="66">
        <v>400</v>
      </c>
      <c r="H17" s="120">
        <f t="shared" si="3"/>
        <v>50</v>
      </c>
      <c r="I17" s="135"/>
      <c r="J17" s="66">
        <v>1</v>
      </c>
      <c r="K17" s="120">
        <v>2</v>
      </c>
      <c r="L17" s="119">
        <f t="shared" si="4"/>
        <v>0</v>
      </c>
      <c r="M17" s="119">
        <f t="shared" si="5"/>
        <v>2</v>
      </c>
      <c r="N17" s="119">
        <f t="shared" si="6"/>
        <v>0</v>
      </c>
      <c r="Z17" s="70" t="s">
        <v>17</v>
      </c>
      <c r="AA17" s="70" t="s">
        <v>17</v>
      </c>
    </row>
    <row r="18" spans="1:29" ht="20.149999999999999" customHeight="1" outlineLevel="1" x14ac:dyDescent="0.35">
      <c r="A18" s="71" t="s">
        <v>23</v>
      </c>
      <c r="B18" s="71" t="s">
        <v>362</v>
      </c>
      <c r="C18" s="71" t="s">
        <v>278</v>
      </c>
      <c r="D18" s="71" t="s">
        <v>221</v>
      </c>
      <c r="E18" s="71"/>
      <c r="F18" s="72" t="s">
        <v>205</v>
      </c>
      <c r="G18" s="66">
        <v>400</v>
      </c>
      <c r="H18" s="120">
        <f t="shared" si="3"/>
        <v>50</v>
      </c>
      <c r="I18" s="135"/>
      <c r="J18" s="66">
        <v>1</v>
      </c>
      <c r="K18" s="120">
        <v>2</v>
      </c>
      <c r="L18" s="119">
        <f t="shared" si="4"/>
        <v>0</v>
      </c>
      <c r="M18" s="119">
        <f t="shared" si="5"/>
        <v>2</v>
      </c>
      <c r="N18" s="119">
        <f t="shared" si="6"/>
        <v>0</v>
      </c>
      <c r="AA18" s="70" t="s">
        <v>17</v>
      </c>
      <c r="AB18" s="70" t="s">
        <v>17</v>
      </c>
    </row>
    <row r="19" spans="1:29" ht="20.149999999999999" customHeight="1" outlineLevel="1" x14ac:dyDescent="0.35">
      <c r="A19" s="71" t="s">
        <v>23</v>
      </c>
      <c r="B19" s="71" t="s">
        <v>379</v>
      </c>
      <c r="C19" s="71" t="s">
        <v>280</v>
      </c>
      <c r="D19" s="71" t="s">
        <v>221</v>
      </c>
      <c r="E19" s="71"/>
      <c r="F19" s="72" t="s">
        <v>206</v>
      </c>
      <c r="G19" s="66">
        <v>500</v>
      </c>
      <c r="H19" s="120">
        <f t="shared" si="3"/>
        <v>62.5</v>
      </c>
      <c r="I19" s="135"/>
      <c r="J19" s="66">
        <v>2</v>
      </c>
      <c r="K19" s="120">
        <v>1.5625</v>
      </c>
      <c r="L19" s="119">
        <f t="shared" si="4"/>
        <v>0</v>
      </c>
      <c r="M19" s="119">
        <f t="shared" si="5"/>
        <v>0</v>
      </c>
      <c r="N19" s="119">
        <f t="shared" si="6"/>
        <v>0</v>
      </c>
    </row>
    <row r="20" spans="1:29" ht="20.149999999999999" customHeight="1" outlineLevel="1" x14ac:dyDescent="0.35">
      <c r="A20" s="71" t="s">
        <v>23</v>
      </c>
      <c r="B20" s="71" t="s">
        <v>379</v>
      </c>
      <c r="C20" s="71" t="s">
        <v>280</v>
      </c>
      <c r="D20" s="71" t="s">
        <v>221</v>
      </c>
      <c r="E20" s="71"/>
      <c r="F20" s="72" t="s">
        <v>199</v>
      </c>
      <c r="G20" s="66">
        <v>1000</v>
      </c>
      <c r="H20" s="120">
        <f t="shared" si="3"/>
        <v>125</v>
      </c>
      <c r="I20" s="135"/>
      <c r="J20" s="66">
        <v>4</v>
      </c>
      <c r="K20" s="120">
        <v>1.5625</v>
      </c>
      <c r="L20" s="119">
        <f t="shared" si="4"/>
        <v>0</v>
      </c>
      <c r="M20" s="119">
        <f t="shared" si="5"/>
        <v>0</v>
      </c>
      <c r="N20" s="119">
        <f t="shared" si="6"/>
        <v>0</v>
      </c>
    </row>
    <row r="21" spans="1:29" ht="20.149999999999999" customHeight="1" x14ac:dyDescent="0.35">
      <c r="A21" s="71" t="s">
        <v>23</v>
      </c>
      <c r="B21" s="71"/>
      <c r="C21" s="76" t="s">
        <v>17</v>
      </c>
      <c r="D21" s="71" t="s">
        <v>222</v>
      </c>
      <c r="E21" s="77" t="s">
        <v>234</v>
      </c>
      <c r="F21" s="13" t="s">
        <v>192</v>
      </c>
      <c r="G21" s="119">
        <f>SUM(G22:G26)</f>
        <v>6864</v>
      </c>
      <c r="H21" s="119">
        <f>SUM(H22:H26)</f>
        <v>858</v>
      </c>
      <c r="I21" s="134">
        <f t="shared" ref="I21" si="7">54*G21</f>
        <v>370656</v>
      </c>
      <c r="J21" s="119">
        <f>SUM(J22:J26)</f>
        <v>12</v>
      </c>
      <c r="K21" s="119">
        <f>SUM(K22:K26)</f>
        <v>13</v>
      </c>
      <c r="L21" s="119">
        <f>SUM(L22:L26)</f>
        <v>0</v>
      </c>
      <c r="M21" s="119">
        <f t="shared" ref="M21:N21" si="8">SUM(M22:M26)</f>
        <v>39</v>
      </c>
      <c r="N21" s="119">
        <f t="shared" si="8"/>
        <v>0</v>
      </c>
      <c r="R21" s="67" t="s">
        <v>17</v>
      </c>
      <c r="S21" s="67" t="s">
        <v>17</v>
      </c>
      <c r="T21" s="67" t="s">
        <v>17</v>
      </c>
      <c r="U21" s="67" t="s">
        <v>17</v>
      </c>
      <c r="V21" s="67" t="s">
        <v>17</v>
      </c>
      <c r="W21" s="67" t="s">
        <v>17</v>
      </c>
      <c r="X21" s="67" t="s">
        <v>17</v>
      </c>
      <c r="Y21" s="67" t="s">
        <v>17</v>
      </c>
      <c r="Z21" s="67" t="s">
        <v>17</v>
      </c>
      <c r="AA21" s="67" t="s">
        <v>17</v>
      </c>
      <c r="AB21" s="67" t="s">
        <v>17</v>
      </c>
      <c r="AC21" s="67" t="s">
        <v>17</v>
      </c>
    </row>
    <row r="22" spans="1:29" ht="20.149999999999999" customHeight="1" outlineLevel="1" x14ac:dyDescent="0.35">
      <c r="A22" s="71" t="s">
        <v>23</v>
      </c>
      <c r="B22" s="71" t="s">
        <v>360</v>
      </c>
      <c r="C22" s="71" t="s">
        <v>198</v>
      </c>
      <c r="D22" s="71" t="s">
        <v>222</v>
      </c>
      <c r="E22" s="71"/>
      <c r="F22" s="72" t="s">
        <v>207</v>
      </c>
      <c r="G22" s="66">
        <f>H22*8</f>
        <v>704</v>
      </c>
      <c r="H22" s="120">
        <f>J22*K22*22</f>
        <v>88</v>
      </c>
      <c r="I22" s="135"/>
      <c r="J22" s="66">
        <v>2</v>
      </c>
      <c r="K22" s="120">
        <f>COUNTIF(O22:AX22,"-")</f>
        <v>2</v>
      </c>
      <c r="L22" s="119">
        <f>COUNTIF(O22:Q22,"-")*J22</f>
        <v>0</v>
      </c>
      <c r="M22" s="119">
        <f>COUNTIF(R22:AC22,"-")*$J22</f>
        <v>4</v>
      </c>
      <c r="N22" s="119">
        <f>COUNTIF(AD22:AN22,"-")*$J22</f>
        <v>0</v>
      </c>
      <c r="R22" s="68" t="s">
        <v>17</v>
      </c>
      <c r="S22" s="68" t="s">
        <v>17</v>
      </c>
    </row>
    <row r="23" spans="1:29" ht="20.149999999999999" customHeight="1" outlineLevel="1" x14ac:dyDescent="0.35">
      <c r="A23" s="71" t="s">
        <v>23</v>
      </c>
      <c r="B23" s="71" t="s">
        <v>364</v>
      </c>
      <c r="C23" s="71" t="s">
        <v>148</v>
      </c>
      <c r="D23" s="71" t="s">
        <v>222</v>
      </c>
      <c r="E23" s="71"/>
      <c r="F23" s="72" t="s">
        <v>229</v>
      </c>
      <c r="G23" s="66">
        <f t="shared" ref="G23:G26" si="9">H23*8</f>
        <v>3168</v>
      </c>
      <c r="H23" s="120">
        <f t="shared" ref="H23:H26" si="10">J23*K23*22</f>
        <v>396</v>
      </c>
      <c r="I23" s="135"/>
      <c r="J23" s="66">
        <v>3</v>
      </c>
      <c r="K23" s="120">
        <f t="shared" ref="K23:K26" si="11">COUNTIF(O23:AX23,"-")</f>
        <v>6</v>
      </c>
      <c r="L23" s="119">
        <f>COUNTIF(O23:Q23,"-")*J23</f>
        <v>0</v>
      </c>
      <c r="M23" s="119">
        <f>COUNTIF(R23:AC23,"-")*$J23</f>
        <v>18</v>
      </c>
      <c r="N23" s="119">
        <f>COUNTIF(AD23:AN23,"-")*$J23</f>
        <v>0</v>
      </c>
      <c r="W23" s="69" t="s">
        <v>17</v>
      </c>
      <c r="X23" s="69" t="s">
        <v>17</v>
      </c>
      <c r="Y23" s="69" t="s">
        <v>17</v>
      </c>
      <c r="Z23" s="69" t="s">
        <v>17</v>
      </c>
      <c r="AA23" s="69" t="s">
        <v>17</v>
      </c>
      <c r="AB23" s="69" t="s">
        <v>17</v>
      </c>
    </row>
    <row r="24" spans="1:29" ht="20.149999999999999" customHeight="1" outlineLevel="1" x14ac:dyDescent="0.35">
      <c r="A24" s="71" t="s">
        <v>23</v>
      </c>
      <c r="B24" s="71" t="s">
        <v>399</v>
      </c>
      <c r="C24" s="71" t="s">
        <v>148</v>
      </c>
      <c r="D24" s="71" t="s">
        <v>222</v>
      </c>
      <c r="E24" s="71"/>
      <c r="F24" s="72" t="s">
        <v>227</v>
      </c>
      <c r="G24" s="66">
        <f t="shared" si="9"/>
        <v>1584</v>
      </c>
      <c r="H24" s="120">
        <f t="shared" si="10"/>
        <v>198</v>
      </c>
      <c r="I24" s="135"/>
      <c r="J24" s="66">
        <v>3</v>
      </c>
      <c r="K24" s="120">
        <f t="shared" si="11"/>
        <v>3</v>
      </c>
      <c r="L24" s="119">
        <f>COUNTIF(O24:Q24,"-")*J24</f>
        <v>0</v>
      </c>
      <c r="M24" s="119">
        <f>COUNTIF(R24:AC24,"-")*$J24</f>
        <v>9</v>
      </c>
      <c r="N24" s="119">
        <f>COUNTIF(AD24:AN24,"-")*$J24</f>
        <v>0</v>
      </c>
      <c r="Y24" s="73" t="s">
        <v>17</v>
      </c>
      <c r="Z24" s="73" t="s">
        <v>17</v>
      </c>
      <c r="AA24" s="73" t="s">
        <v>17</v>
      </c>
    </row>
    <row r="25" spans="1:29" ht="14.5" customHeight="1" outlineLevel="1" x14ac:dyDescent="0.35">
      <c r="A25" s="71" t="s">
        <v>23</v>
      </c>
      <c r="B25" s="71" t="s">
        <v>263</v>
      </c>
      <c r="C25" s="71" t="s">
        <v>279</v>
      </c>
      <c r="D25" s="71" t="s">
        <v>222</v>
      </c>
      <c r="E25" s="71"/>
      <c r="F25" s="72" t="s">
        <v>248</v>
      </c>
      <c r="G25" s="66">
        <v>0</v>
      </c>
      <c r="H25" s="120">
        <v>0</v>
      </c>
      <c r="I25" s="120"/>
      <c r="J25" s="66">
        <v>0</v>
      </c>
      <c r="K25" s="120">
        <v>0</v>
      </c>
      <c r="L25" s="119">
        <f>COUNTIF(O25:Q25,"-")*J25</f>
        <v>0</v>
      </c>
      <c r="M25" s="119">
        <f>COUNTIF(R25:AC25,"-")*$J25</f>
        <v>0</v>
      </c>
      <c r="N25" s="119">
        <f>COUNTIF(AD25:AN25,"-")*$J25</f>
        <v>0</v>
      </c>
      <c r="Z25" s="108" t="s">
        <v>17</v>
      </c>
      <c r="AA25" s="108" t="s">
        <v>17</v>
      </c>
    </row>
    <row r="26" spans="1:29" ht="20.149999999999999" customHeight="1" outlineLevel="1" x14ac:dyDescent="0.35">
      <c r="A26" s="71" t="s">
        <v>23</v>
      </c>
      <c r="B26" s="71" t="s">
        <v>244</v>
      </c>
      <c r="C26" s="71" t="s">
        <v>278</v>
      </c>
      <c r="D26" s="71" t="s">
        <v>222</v>
      </c>
      <c r="E26" s="71"/>
      <c r="F26" s="72" t="s">
        <v>204</v>
      </c>
      <c r="G26" s="66">
        <f t="shared" si="9"/>
        <v>1408</v>
      </c>
      <c r="H26" s="120">
        <f t="shared" si="10"/>
        <v>176</v>
      </c>
      <c r="I26" s="135"/>
      <c r="J26" s="66">
        <v>4</v>
      </c>
      <c r="K26" s="120">
        <f t="shared" si="11"/>
        <v>2</v>
      </c>
      <c r="L26" s="119">
        <f>COUNTIF(O26:Q26,"-")*J26</f>
        <v>0</v>
      </c>
      <c r="M26" s="119">
        <f>COUNTIF(R26:AC26,"-")*$J26</f>
        <v>8</v>
      </c>
      <c r="N26" s="119">
        <f>COUNTIF(AD26:AN26,"-")*$J26</f>
        <v>0</v>
      </c>
      <c r="AB26" s="70" t="s">
        <v>17</v>
      </c>
      <c r="AC26" s="70" t="s">
        <v>17</v>
      </c>
    </row>
    <row r="27" spans="1:29" ht="20.149999999999999" customHeight="1" x14ac:dyDescent="0.35">
      <c r="A27" s="71" t="s">
        <v>23</v>
      </c>
      <c r="B27" s="71"/>
      <c r="C27" s="76" t="s">
        <v>17</v>
      </c>
      <c r="D27" s="71" t="s">
        <v>223</v>
      </c>
      <c r="E27" s="77" t="s">
        <v>235</v>
      </c>
      <c r="F27" s="13" t="s">
        <v>49</v>
      </c>
      <c r="G27" s="12">
        <f>SUM(G28:G32)</f>
        <v>3168</v>
      </c>
      <c r="H27" s="12">
        <f>SUM(H28:H32)</f>
        <v>396</v>
      </c>
      <c r="I27" s="134">
        <f>54*G27</f>
        <v>171072</v>
      </c>
      <c r="J27" s="12">
        <f>SUM(J28:J32)</f>
        <v>12</v>
      </c>
      <c r="K27" s="12">
        <f>SUM(K28:K32)</f>
        <v>6</v>
      </c>
      <c r="L27" s="12">
        <f>SUM(L28:L32)</f>
        <v>2</v>
      </c>
      <c r="M27" s="12">
        <f t="shared" ref="M27:N27" si="12">SUM(M28:M32)</f>
        <v>16</v>
      </c>
      <c r="N27" s="12">
        <f t="shared" si="12"/>
        <v>0</v>
      </c>
      <c r="O27" s="67" t="s">
        <v>17</v>
      </c>
      <c r="P27" s="67" t="s">
        <v>17</v>
      </c>
      <c r="Q27" s="67" t="s">
        <v>17</v>
      </c>
      <c r="R27" s="67" t="s">
        <v>17</v>
      </c>
      <c r="S27" s="67" t="s">
        <v>17</v>
      </c>
      <c r="T27" s="67" t="s">
        <v>17</v>
      </c>
      <c r="U27" s="67" t="s">
        <v>17</v>
      </c>
      <c r="V27" s="67" t="s">
        <v>17</v>
      </c>
      <c r="W27" s="67" t="s">
        <v>17</v>
      </c>
      <c r="X27" s="67" t="s">
        <v>17</v>
      </c>
      <c r="Y27" s="67" t="s">
        <v>17</v>
      </c>
      <c r="Z27" s="67" t="s">
        <v>17</v>
      </c>
      <c r="AA27" s="67" t="s">
        <v>17</v>
      </c>
      <c r="AB27" s="67" t="s">
        <v>17</v>
      </c>
    </row>
    <row r="28" spans="1:29" ht="20.149999999999999" customHeight="1" outlineLevel="1" x14ac:dyDescent="0.35">
      <c r="A28" s="71" t="s">
        <v>23</v>
      </c>
      <c r="B28" s="71" t="s">
        <v>360</v>
      </c>
      <c r="C28" s="71" t="s">
        <v>198</v>
      </c>
      <c r="D28" s="71" t="s">
        <v>223</v>
      </c>
      <c r="E28" s="71"/>
      <c r="F28" s="72" t="s">
        <v>207</v>
      </c>
      <c r="G28" s="66">
        <f t="shared" ref="G28:G29" si="13">H28*8</f>
        <v>352</v>
      </c>
      <c r="H28" s="120">
        <f t="shared" ref="H28:H75" si="14">J28*K28*22</f>
        <v>44</v>
      </c>
      <c r="I28" s="135"/>
      <c r="J28" s="66">
        <v>2</v>
      </c>
      <c r="K28" s="120">
        <f>COUNTIF(O28:AX28,"-")</f>
        <v>1</v>
      </c>
      <c r="L28" s="119">
        <f>COUNTIF(O28:Q28,"-")*J28</f>
        <v>2</v>
      </c>
      <c r="M28" s="119">
        <f>COUNTIF(R28:AC28,"-")*$J28</f>
        <v>0</v>
      </c>
      <c r="N28" s="119">
        <f>COUNTIF(AD28:AN28,"-")*$J28</f>
        <v>0</v>
      </c>
      <c r="O28" s="68" t="s">
        <v>17</v>
      </c>
    </row>
    <row r="29" spans="1:29" ht="20.149999999999999" customHeight="1" outlineLevel="1" x14ac:dyDescent="0.35">
      <c r="A29" s="71" t="s">
        <v>23</v>
      </c>
      <c r="B29" s="71" t="s">
        <v>365</v>
      </c>
      <c r="C29" s="71" t="s">
        <v>148</v>
      </c>
      <c r="D29" s="71" t="s">
        <v>223</v>
      </c>
      <c r="E29" s="71"/>
      <c r="F29" s="72" t="s">
        <v>229</v>
      </c>
      <c r="G29" s="66">
        <f t="shared" si="13"/>
        <v>1056</v>
      </c>
      <c r="H29" s="120">
        <f t="shared" si="14"/>
        <v>132</v>
      </c>
      <c r="I29" s="135"/>
      <c r="J29" s="66">
        <v>3</v>
      </c>
      <c r="K29" s="120">
        <f>COUNTIF(O29:AX29,"-")</f>
        <v>2</v>
      </c>
      <c r="L29" s="119">
        <f>COUNTIF(O29:Q29,"-")*J29</f>
        <v>0</v>
      </c>
      <c r="M29" s="119">
        <f>COUNTIF(R29:AC29,"-")*$J29</f>
        <v>6</v>
      </c>
      <c r="N29" s="119">
        <f>COUNTIF(AD29:AN29,"-")*$J29</f>
        <v>0</v>
      </c>
      <c r="Y29" s="69" t="s">
        <v>17</v>
      </c>
      <c r="Z29" s="69" t="s">
        <v>17</v>
      </c>
    </row>
    <row r="30" spans="1:29" ht="20.149999999999999" customHeight="1" outlineLevel="1" x14ac:dyDescent="0.35">
      <c r="A30" s="71" t="s">
        <v>23</v>
      </c>
      <c r="B30" s="71" t="s">
        <v>399</v>
      </c>
      <c r="C30" s="71" t="s">
        <v>148</v>
      </c>
      <c r="D30" s="71" t="s">
        <v>223</v>
      </c>
      <c r="E30" s="71"/>
      <c r="F30" s="72" t="s">
        <v>227</v>
      </c>
      <c r="G30" s="66">
        <f>H30*8</f>
        <v>1056</v>
      </c>
      <c r="H30" s="120">
        <f t="shared" si="14"/>
        <v>132</v>
      </c>
      <c r="I30" s="135"/>
      <c r="J30" s="66">
        <v>3</v>
      </c>
      <c r="K30" s="120">
        <f>COUNTIF(O30:AX30,"-")</f>
        <v>2</v>
      </c>
      <c r="L30" s="119">
        <f>COUNTIF(O30:Q30,"-")*J30</f>
        <v>0</v>
      </c>
      <c r="M30" s="119">
        <f>COUNTIF(R30:AC30,"-")*$J30</f>
        <v>6</v>
      </c>
      <c r="N30" s="119">
        <f>COUNTIF(AD30:AN30,"-")*$J30</f>
        <v>0</v>
      </c>
      <c r="Z30" s="73" t="s">
        <v>17</v>
      </c>
      <c r="AA30" s="73" t="s">
        <v>17</v>
      </c>
    </row>
    <row r="31" spans="1:29" ht="20.149999999999999" customHeight="1" outlineLevel="1" x14ac:dyDescent="0.35">
      <c r="A31" s="71" t="s">
        <v>23</v>
      </c>
      <c r="B31" s="71" t="s">
        <v>263</v>
      </c>
      <c r="C31" s="71" t="s">
        <v>279</v>
      </c>
      <c r="D31" s="71" t="s">
        <v>223</v>
      </c>
      <c r="E31" s="71"/>
      <c r="F31" s="72" t="s">
        <v>248</v>
      </c>
      <c r="G31" s="66">
        <v>0</v>
      </c>
      <c r="H31" s="120">
        <v>0</v>
      </c>
      <c r="I31" s="120"/>
      <c r="J31" s="66">
        <v>0</v>
      </c>
      <c r="K31" s="120">
        <v>0</v>
      </c>
      <c r="L31" s="119">
        <f>COUNTIF(O31:Q31,"-")*J31</f>
        <v>0</v>
      </c>
      <c r="M31" s="119">
        <f>COUNTIF(R31:AC31,"-")*$J31</f>
        <v>0</v>
      </c>
      <c r="N31" s="119">
        <f>COUNTIF(AD31:AN31,"-")*$J31</f>
        <v>0</v>
      </c>
      <c r="AA31" s="109"/>
    </row>
    <row r="32" spans="1:29" ht="20.149999999999999" customHeight="1" outlineLevel="1" x14ac:dyDescent="0.35">
      <c r="A32" s="71" t="s">
        <v>23</v>
      </c>
      <c r="B32" s="71" t="s">
        <v>244</v>
      </c>
      <c r="C32" s="71" t="s">
        <v>278</v>
      </c>
      <c r="D32" s="71" t="s">
        <v>223</v>
      </c>
      <c r="E32" s="71"/>
      <c r="F32" s="72" t="s">
        <v>204</v>
      </c>
      <c r="G32" s="66">
        <f t="shared" ref="G32" si="15">H32*8</f>
        <v>704</v>
      </c>
      <c r="H32" s="120">
        <f t="shared" si="14"/>
        <v>88</v>
      </c>
      <c r="I32" s="135"/>
      <c r="J32" s="66">
        <v>4</v>
      </c>
      <c r="K32" s="120">
        <f>COUNTIF(O32:AX32,"-")</f>
        <v>1</v>
      </c>
      <c r="L32" s="119">
        <f>COUNTIF(O32:Q32,"-")*J32</f>
        <v>0</v>
      </c>
      <c r="M32" s="119">
        <f>COUNTIF(R32:AC32,"-")*$J32</f>
        <v>4</v>
      </c>
      <c r="N32" s="119">
        <f>COUNTIF(AD32:AN32,"-")*$J32</f>
        <v>0</v>
      </c>
      <c r="AB32" s="70" t="s">
        <v>17</v>
      </c>
    </row>
    <row r="33" spans="1:30" ht="20.149999999999999" customHeight="1" x14ac:dyDescent="0.35">
      <c r="A33" s="71" t="s">
        <v>23</v>
      </c>
      <c r="B33" s="71"/>
      <c r="C33" s="76" t="s">
        <v>17</v>
      </c>
      <c r="D33" s="71" t="s">
        <v>390</v>
      </c>
      <c r="E33" s="77" t="s">
        <v>391</v>
      </c>
      <c r="F33" s="75" t="s">
        <v>388</v>
      </c>
      <c r="G33" s="133">
        <f t="shared" ref="G33:J33" si="16">SUM(G34:G35)</f>
        <v>704</v>
      </c>
      <c r="H33" s="133">
        <f t="shared" si="16"/>
        <v>88</v>
      </c>
      <c r="I33" s="134">
        <f>54*G33</f>
        <v>38016</v>
      </c>
      <c r="J33" s="133">
        <f t="shared" si="16"/>
        <v>4</v>
      </c>
      <c r="K33" s="133">
        <f>SUM(K34:K35)</f>
        <v>2</v>
      </c>
      <c r="L33" s="120">
        <f t="shared" ref="L33:N33" si="17">SUM(L34:L35)</f>
        <v>0</v>
      </c>
      <c r="M33" s="120">
        <f t="shared" si="17"/>
        <v>4</v>
      </c>
      <c r="N33" s="120">
        <f t="shared" si="17"/>
        <v>0</v>
      </c>
      <c r="AA33" s="67" t="s">
        <v>17</v>
      </c>
      <c r="AB33" s="67" t="s">
        <v>17</v>
      </c>
    </row>
    <row r="34" spans="1:30" ht="20.149999999999999" customHeight="1" outlineLevel="1" x14ac:dyDescent="0.35">
      <c r="A34" s="71" t="s">
        <v>23</v>
      </c>
      <c r="B34" s="71" t="s">
        <v>371</v>
      </c>
      <c r="C34" s="71" t="s">
        <v>148</v>
      </c>
      <c r="D34" s="71" t="s">
        <v>390</v>
      </c>
      <c r="E34" s="71"/>
      <c r="F34" s="72" t="s">
        <v>229</v>
      </c>
      <c r="G34" s="66">
        <f>H34*8</f>
        <v>528</v>
      </c>
      <c r="H34" s="120">
        <f>K34*J34*22</f>
        <v>66</v>
      </c>
      <c r="I34" s="135"/>
      <c r="J34" s="66">
        <v>3</v>
      </c>
      <c r="K34" s="120">
        <f>COUNTIF(O32:AX32,"-")</f>
        <v>1</v>
      </c>
      <c r="L34" s="119">
        <f>COUNTIF(O34:Q34,"-")*J34</f>
        <v>0</v>
      </c>
      <c r="M34" s="119">
        <f>COUNTIF(R34:AC34,"-")*$J34</f>
        <v>3</v>
      </c>
      <c r="N34" s="119">
        <f>COUNTIF(AD34:AN34,"-")*$J34</f>
        <v>0</v>
      </c>
      <c r="AA34" s="69" t="s">
        <v>17</v>
      </c>
    </row>
    <row r="35" spans="1:30" ht="20.149999999999999" customHeight="1" outlineLevel="1" x14ac:dyDescent="0.35">
      <c r="A35" s="71" t="s">
        <v>23</v>
      </c>
      <c r="B35" s="71" t="s">
        <v>244</v>
      </c>
      <c r="C35" s="71" t="s">
        <v>278</v>
      </c>
      <c r="D35" s="71" t="s">
        <v>390</v>
      </c>
      <c r="E35" s="71"/>
      <c r="F35" s="72" t="s">
        <v>204</v>
      </c>
      <c r="G35" s="66">
        <f>H35*8</f>
        <v>176</v>
      </c>
      <c r="H35" s="120">
        <f>K35*J35*22</f>
        <v>22</v>
      </c>
      <c r="I35" s="135"/>
      <c r="J35" s="66">
        <v>1</v>
      </c>
      <c r="K35" s="120">
        <f>COUNTIF(O32:AX32,"-")</f>
        <v>1</v>
      </c>
      <c r="L35" s="119">
        <f>COUNTIF(O35:Q35,"-")*J35</f>
        <v>0</v>
      </c>
      <c r="M35" s="119">
        <f>COUNTIF(R35:AC35,"-")*$J35</f>
        <v>1</v>
      </c>
      <c r="N35" s="119">
        <f>COUNTIF(AD35:AN35,"-")*$J35</f>
        <v>0</v>
      </c>
      <c r="AB35" s="70" t="s">
        <v>17</v>
      </c>
    </row>
    <row r="36" spans="1:30" ht="20.149999999999999" customHeight="1" x14ac:dyDescent="0.35">
      <c r="A36" t="s">
        <v>12</v>
      </c>
      <c r="C36" t="s">
        <v>17</v>
      </c>
      <c r="D36" t="s">
        <v>74</v>
      </c>
      <c r="E36" s="77" t="s">
        <v>236</v>
      </c>
      <c r="F36" s="13" t="s">
        <v>74</v>
      </c>
      <c r="G36" s="119">
        <f>SUM(G37:G42)</f>
        <v>7040</v>
      </c>
      <c r="H36" s="119">
        <f>SUM(H37:H42)</f>
        <v>880</v>
      </c>
      <c r="I36" s="134">
        <f>54*G36</f>
        <v>380160</v>
      </c>
      <c r="J36" s="119">
        <f>SUM(J37:J42)</f>
        <v>14</v>
      </c>
      <c r="K36" s="119">
        <f>SUM(K37:K42)</f>
        <v>14</v>
      </c>
      <c r="L36" s="119">
        <f>SUM(L37:L42)</f>
        <v>7</v>
      </c>
      <c r="M36" s="119">
        <f>SUM(M37:M42)</f>
        <v>33</v>
      </c>
      <c r="N36" s="119">
        <f>SUM(N37:N42)</f>
        <v>0</v>
      </c>
      <c r="O36" s="67" t="s">
        <v>17</v>
      </c>
      <c r="P36" s="67" t="s">
        <v>17</v>
      </c>
      <c r="Q36" s="67" t="s">
        <v>17</v>
      </c>
      <c r="R36" s="67" t="s">
        <v>17</v>
      </c>
      <c r="S36" s="67" t="s">
        <v>17</v>
      </c>
      <c r="T36" s="67" t="s">
        <v>17</v>
      </c>
      <c r="U36" s="67" t="s">
        <v>17</v>
      </c>
      <c r="V36" s="67" t="s">
        <v>17</v>
      </c>
      <c r="W36" s="67" t="s">
        <v>17</v>
      </c>
      <c r="X36" s="67" t="s">
        <v>17</v>
      </c>
      <c r="Y36" s="67" t="s">
        <v>17</v>
      </c>
      <c r="Z36" s="67" t="s">
        <v>17</v>
      </c>
      <c r="AA36" s="67" t="s">
        <v>17</v>
      </c>
      <c r="AB36" s="67" t="s">
        <v>17</v>
      </c>
    </row>
    <row r="37" spans="1:30" ht="15" customHeight="1" outlineLevel="1" x14ac:dyDescent="0.35">
      <c r="A37" t="s">
        <v>12</v>
      </c>
      <c r="B37" s="131" t="s">
        <v>378</v>
      </c>
      <c r="C37" t="s">
        <v>198</v>
      </c>
      <c r="D37" t="s">
        <v>74</v>
      </c>
      <c r="F37" s="65" t="s">
        <v>207</v>
      </c>
      <c r="G37" s="66">
        <f>H37*8</f>
        <v>704</v>
      </c>
      <c r="H37" s="120">
        <f t="shared" si="14"/>
        <v>88</v>
      </c>
      <c r="I37" s="135"/>
      <c r="J37" s="66">
        <v>2</v>
      </c>
      <c r="K37" s="121">
        <f>COUNTIF(O37:AX37,"-")</f>
        <v>2</v>
      </c>
      <c r="L37" s="119">
        <f t="shared" ref="L37:L42" si="18">COUNTIF(O37:Q37,"-")*J37</f>
        <v>4</v>
      </c>
      <c r="M37" s="119">
        <f t="shared" ref="M37:M42" si="19">COUNTIF(R37:AC37,"-")*$J37</f>
        <v>0</v>
      </c>
      <c r="N37" s="119">
        <f t="shared" ref="N37:N42" si="20">COUNTIF(AD37:AN37,"-")*$J37</f>
        <v>0</v>
      </c>
      <c r="O37" s="68" t="s">
        <v>17</v>
      </c>
      <c r="P37" s="68" t="s">
        <v>17</v>
      </c>
    </row>
    <row r="38" spans="1:30" outlineLevel="1" x14ac:dyDescent="0.35">
      <c r="A38" t="s">
        <v>12</v>
      </c>
      <c r="B38" s="131" t="s">
        <v>399</v>
      </c>
      <c r="C38" t="s">
        <v>148</v>
      </c>
      <c r="D38" t="s">
        <v>74</v>
      </c>
      <c r="F38" s="74" t="s">
        <v>227</v>
      </c>
      <c r="G38" s="66">
        <f t="shared" ref="G38:G42" si="21">H38*8</f>
        <v>2640</v>
      </c>
      <c r="H38" s="121">
        <f t="shared" si="14"/>
        <v>330</v>
      </c>
      <c r="I38" s="136"/>
      <c r="J38" s="66">
        <v>3</v>
      </c>
      <c r="K38" s="121">
        <f>COUNTIF(O38:AX38,"-")</f>
        <v>5</v>
      </c>
      <c r="L38" s="119">
        <f t="shared" si="18"/>
        <v>3</v>
      </c>
      <c r="M38" s="119">
        <f t="shared" si="19"/>
        <v>12</v>
      </c>
      <c r="N38" s="119">
        <f t="shared" si="20"/>
        <v>0</v>
      </c>
      <c r="Q38" s="73" t="s">
        <v>17</v>
      </c>
      <c r="R38" s="73" t="s">
        <v>17</v>
      </c>
      <c r="S38" s="73" t="s">
        <v>17</v>
      </c>
      <c r="T38" s="73" t="s">
        <v>17</v>
      </c>
      <c r="U38" s="73" t="s">
        <v>17</v>
      </c>
    </row>
    <row r="39" spans="1:30" outlineLevel="1" x14ac:dyDescent="0.35">
      <c r="A39" t="s">
        <v>12</v>
      </c>
      <c r="B39" t="s">
        <v>366</v>
      </c>
      <c r="C39" t="s">
        <v>148</v>
      </c>
      <c r="D39" t="s">
        <v>74</v>
      </c>
      <c r="F39" s="74" t="s">
        <v>229</v>
      </c>
      <c r="G39" s="66">
        <f t="shared" si="21"/>
        <v>1056</v>
      </c>
      <c r="H39" s="121">
        <f t="shared" si="14"/>
        <v>132</v>
      </c>
      <c r="I39" s="136"/>
      <c r="J39" s="66">
        <v>2</v>
      </c>
      <c r="K39" s="121">
        <f>COUNTIF(O39:AX39,"-")</f>
        <v>3</v>
      </c>
      <c r="L39" s="119">
        <f t="shared" si="18"/>
        <v>0</v>
      </c>
      <c r="M39" s="119">
        <f t="shared" si="19"/>
        <v>6</v>
      </c>
      <c r="N39" s="119">
        <f t="shared" si="20"/>
        <v>0</v>
      </c>
      <c r="V39" s="69" t="s">
        <v>17</v>
      </c>
      <c r="W39" s="69" t="s">
        <v>17</v>
      </c>
      <c r="X39" s="69" t="s">
        <v>17</v>
      </c>
    </row>
    <row r="40" spans="1:30" outlineLevel="1" x14ac:dyDescent="0.35">
      <c r="A40" t="s">
        <v>12</v>
      </c>
      <c r="B40" t="s">
        <v>361</v>
      </c>
      <c r="C40" t="s">
        <v>148</v>
      </c>
      <c r="D40" t="s">
        <v>74</v>
      </c>
      <c r="F40" s="65" t="s">
        <v>201</v>
      </c>
      <c r="G40" s="66">
        <f t="shared" si="21"/>
        <v>528</v>
      </c>
      <c r="H40" s="121">
        <f t="shared" si="14"/>
        <v>66</v>
      </c>
      <c r="I40" s="136"/>
      <c r="J40" s="66">
        <v>3</v>
      </c>
      <c r="K40" s="121">
        <f>COUNTIF(O40:AX40,"-")</f>
        <v>1</v>
      </c>
      <c r="L40" s="119">
        <f t="shared" si="18"/>
        <v>0</v>
      </c>
      <c r="M40" s="119">
        <f t="shared" si="19"/>
        <v>3</v>
      </c>
      <c r="N40" s="119">
        <f t="shared" si="20"/>
        <v>0</v>
      </c>
      <c r="Y40" s="69" t="s">
        <v>17</v>
      </c>
    </row>
    <row r="41" spans="1:30" outlineLevel="1" x14ac:dyDescent="0.35">
      <c r="A41" t="s">
        <v>12</v>
      </c>
      <c r="B41" t="s">
        <v>263</v>
      </c>
      <c r="C41" t="s">
        <v>279</v>
      </c>
      <c r="D41" t="s">
        <v>74</v>
      </c>
      <c r="F41" s="65" t="s">
        <v>248</v>
      </c>
      <c r="G41" s="66">
        <v>0</v>
      </c>
      <c r="H41" s="121">
        <v>0</v>
      </c>
      <c r="J41" s="66">
        <v>0</v>
      </c>
      <c r="K41" s="121">
        <v>0</v>
      </c>
      <c r="L41" s="119">
        <f t="shared" si="18"/>
        <v>0</v>
      </c>
      <c r="M41" s="119">
        <f t="shared" si="19"/>
        <v>0</v>
      </c>
      <c r="N41" s="119">
        <f t="shared" si="20"/>
        <v>0</v>
      </c>
      <c r="Y41" s="110"/>
    </row>
    <row r="42" spans="1:30" outlineLevel="1" x14ac:dyDescent="0.35">
      <c r="A42" t="s">
        <v>12</v>
      </c>
      <c r="B42" t="s">
        <v>244</v>
      </c>
      <c r="C42" t="s">
        <v>278</v>
      </c>
      <c r="D42" t="s">
        <v>74</v>
      </c>
      <c r="F42" s="65" t="s">
        <v>204</v>
      </c>
      <c r="G42" s="66">
        <f t="shared" si="21"/>
        <v>2112</v>
      </c>
      <c r="H42" s="121">
        <f t="shared" si="14"/>
        <v>264</v>
      </c>
      <c r="I42" s="136"/>
      <c r="J42" s="66">
        <v>4</v>
      </c>
      <c r="K42" s="121">
        <f>COUNTIF(O42:AX42,"-")</f>
        <v>3</v>
      </c>
      <c r="L42" s="119">
        <f t="shared" si="18"/>
        <v>0</v>
      </c>
      <c r="M42" s="119">
        <f t="shared" si="19"/>
        <v>12</v>
      </c>
      <c r="N42" s="119">
        <f t="shared" si="20"/>
        <v>0</v>
      </c>
      <c r="Z42" s="70" t="s">
        <v>17</v>
      </c>
      <c r="AA42" s="70" t="s">
        <v>17</v>
      </c>
      <c r="AB42" s="70" t="s">
        <v>17</v>
      </c>
    </row>
    <row r="43" spans="1:30" x14ac:dyDescent="0.35">
      <c r="A43" t="s">
        <v>12</v>
      </c>
      <c r="C43" t="s">
        <v>17</v>
      </c>
      <c r="D43" t="s">
        <v>193</v>
      </c>
      <c r="E43" s="77" t="s">
        <v>237</v>
      </c>
      <c r="F43" s="13" t="s">
        <v>193</v>
      </c>
      <c r="G43" s="119">
        <f>SUM(G44:G47)</f>
        <v>4224</v>
      </c>
      <c r="H43" s="119">
        <f>SUM(H44:H47)</f>
        <v>528</v>
      </c>
      <c r="I43" s="134">
        <f>54*G43</f>
        <v>228096</v>
      </c>
      <c r="J43" s="119">
        <f>SUM(J44:J47)</f>
        <v>9</v>
      </c>
      <c r="K43" s="119">
        <f>SUM(K44:K47)</f>
        <v>8</v>
      </c>
      <c r="L43" s="119">
        <f t="shared" ref="L43:N43" si="22">SUM(L44:L47)</f>
        <v>2</v>
      </c>
      <c r="M43" s="119">
        <f t="shared" si="22"/>
        <v>18</v>
      </c>
      <c r="N43" s="119">
        <f t="shared" si="22"/>
        <v>4</v>
      </c>
      <c r="Q43" s="67" t="s">
        <v>17</v>
      </c>
      <c r="R43" s="67" t="s">
        <v>17</v>
      </c>
      <c r="S43" s="67" t="s">
        <v>17</v>
      </c>
      <c r="T43" s="67" t="s">
        <v>17</v>
      </c>
      <c r="U43" s="67" t="s">
        <v>17</v>
      </c>
      <c r="V43" s="67" t="s">
        <v>17</v>
      </c>
      <c r="W43" s="67" t="s">
        <v>17</v>
      </c>
      <c r="X43" s="67" t="s">
        <v>17</v>
      </c>
      <c r="Y43" s="67" t="s">
        <v>17</v>
      </c>
      <c r="Z43" s="67" t="s">
        <v>17</v>
      </c>
      <c r="AA43" s="67" t="s">
        <v>17</v>
      </c>
      <c r="AB43" s="67" t="s">
        <v>17</v>
      </c>
      <c r="AC43" s="67" t="s">
        <v>17</v>
      </c>
      <c r="AD43" s="67" t="s">
        <v>17</v>
      </c>
    </row>
    <row r="44" spans="1:30" outlineLevel="1" x14ac:dyDescent="0.35">
      <c r="A44" t="s">
        <v>12</v>
      </c>
      <c r="B44" s="131" t="s">
        <v>378</v>
      </c>
      <c r="C44" t="s">
        <v>198</v>
      </c>
      <c r="D44" t="s">
        <v>193</v>
      </c>
      <c r="F44" s="65" t="s">
        <v>207</v>
      </c>
      <c r="G44" s="66">
        <f>H44*8</f>
        <v>704</v>
      </c>
      <c r="H44" s="121">
        <f t="shared" si="14"/>
        <v>88</v>
      </c>
      <c r="I44" s="136"/>
      <c r="J44" s="66">
        <v>2</v>
      </c>
      <c r="K44" s="121">
        <f>COUNTIF(O44:AX44,"-")</f>
        <v>2</v>
      </c>
      <c r="L44" s="119">
        <f>COUNTIF(O44:Q44,"-")*J44</f>
        <v>2</v>
      </c>
      <c r="M44" s="119">
        <f>COUNTIF(R44:AC44,"-")*$J44</f>
        <v>2</v>
      </c>
      <c r="N44" s="119">
        <f>COUNTIF(AD44:AN44,"-")*$J44</f>
        <v>0</v>
      </c>
      <c r="Q44" s="68" t="s">
        <v>17</v>
      </c>
      <c r="R44" s="68" t="s">
        <v>17</v>
      </c>
    </row>
    <row r="45" spans="1:30" outlineLevel="1" x14ac:dyDescent="0.35">
      <c r="A45" t="s">
        <v>12</v>
      </c>
      <c r="B45" s="131" t="s">
        <v>399</v>
      </c>
      <c r="C45" t="s">
        <v>148</v>
      </c>
      <c r="D45" t="s">
        <v>193</v>
      </c>
      <c r="F45" s="74" t="s">
        <v>227</v>
      </c>
      <c r="G45" s="66">
        <f t="shared" ref="G45:G47" si="23">H45*8</f>
        <v>2112</v>
      </c>
      <c r="H45" s="121">
        <f t="shared" si="14"/>
        <v>264</v>
      </c>
      <c r="I45" s="136"/>
      <c r="J45" s="66">
        <v>3</v>
      </c>
      <c r="K45" s="121">
        <f>COUNTIF(O45:AX45,"-")</f>
        <v>4</v>
      </c>
      <c r="L45" s="119">
        <f>COUNTIF(O45:Q45,"-")*J45</f>
        <v>0</v>
      </c>
      <c r="M45" s="119">
        <f>COUNTIF(R45:AC45,"-")*$J45</f>
        <v>12</v>
      </c>
      <c r="N45" s="119">
        <f>COUNTIF(AD45:AN45,"-")*$J45</f>
        <v>0</v>
      </c>
      <c r="V45" s="73" t="s">
        <v>17</v>
      </c>
      <c r="W45" s="73" t="s">
        <v>17</v>
      </c>
      <c r="X45" s="73" t="s">
        <v>17</v>
      </c>
      <c r="Y45" s="73" t="s">
        <v>17</v>
      </c>
    </row>
    <row r="46" spans="1:30" outlineLevel="1" x14ac:dyDescent="0.35">
      <c r="A46" t="s">
        <v>12</v>
      </c>
      <c r="B46" t="s">
        <v>263</v>
      </c>
      <c r="C46" t="s">
        <v>279</v>
      </c>
      <c r="D46" t="s">
        <v>193</v>
      </c>
      <c r="F46" s="74" t="s">
        <v>265</v>
      </c>
      <c r="G46" s="66">
        <v>0</v>
      </c>
      <c r="H46" s="121">
        <v>0</v>
      </c>
      <c r="J46" s="66">
        <v>0</v>
      </c>
      <c r="K46" s="121">
        <v>0</v>
      </c>
      <c r="L46" s="119">
        <f>COUNTIF(O46:Q46,"-")*J46</f>
        <v>0</v>
      </c>
      <c r="M46" s="119">
        <f>COUNTIF(R46:AC46,"-")*$J46</f>
        <v>0</v>
      </c>
      <c r="N46" s="119">
        <f>COUNTIF(AD46:AN46,"-")*$J46</f>
        <v>0</v>
      </c>
      <c r="AB46" s="110"/>
    </row>
    <row r="47" spans="1:30" outlineLevel="1" x14ac:dyDescent="0.35">
      <c r="A47" t="s">
        <v>12</v>
      </c>
      <c r="B47" t="s">
        <v>244</v>
      </c>
      <c r="C47" t="s">
        <v>278</v>
      </c>
      <c r="D47" t="s">
        <v>193</v>
      </c>
      <c r="F47" s="65" t="s">
        <v>204</v>
      </c>
      <c r="G47" s="66">
        <f t="shared" si="23"/>
        <v>1408</v>
      </c>
      <c r="H47" s="121">
        <f t="shared" si="14"/>
        <v>176</v>
      </c>
      <c r="I47" s="136"/>
      <c r="J47" s="66">
        <v>4</v>
      </c>
      <c r="K47" s="121">
        <f>COUNTIF(O47:AX47,"-")</f>
        <v>2</v>
      </c>
      <c r="L47" s="119">
        <f>COUNTIF(O47:Q47,"-")*J47</f>
        <v>0</v>
      </c>
      <c r="M47" s="119">
        <f>COUNTIF(R47:AC47,"-")*$J47</f>
        <v>4</v>
      </c>
      <c r="N47" s="119">
        <f>COUNTIF(AD47:AN47,"-")*$J47</f>
        <v>4</v>
      </c>
      <c r="AC47" s="70" t="s">
        <v>17</v>
      </c>
      <c r="AD47" s="70" t="s">
        <v>17</v>
      </c>
    </row>
    <row r="48" spans="1:30" x14ac:dyDescent="0.35">
      <c r="A48" t="s">
        <v>12</v>
      </c>
      <c r="C48" t="s">
        <v>17</v>
      </c>
      <c r="D48" t="s">
        <v>76</v>
      </c>
      <c r="E48" s="77" t="s">
        <v>238</v>
      </c>
      <c r="F48" s="13" t="s">
        <v>76</v>
      </c>
      <c r="G48" s="119">
        <f>SUM(G49:G53)</f>
        <v>1936</v>
      </c>
      <c r="H48" s="119">
        <f>SUM(H49:H53)</f>
        <v>242</v>
      </c>
      <c r="I48" s="134">
        <f>54*G48</f>
        <v>104544</v>
      </c>
      <c r="J48" s="119">
        <f>SUM(J49:J53)</f>
        <v>11</v>
      </c>
      <c r="K48" s="119">
        <f>SUM(K49:K53)</f>
        <v>4</v>
      </c>
      <c r="L48" s="119">
        <f t="shared" ref="L48" si="24">SUM(L49:L53)</f>
        <v>0</v>
      </c>
      <c r="M48" s="119">
        <f t="shared" ref="M48" si="25">SUM(M49:M53)</f>
        <v>11</v>
      </c>
      <c r="N48" s="119">
        <f t="shared" ref="N48" si="26">SUM(N49:N53)</f>
        <v>0</v>
      </c>
      <c r="T48" s="67" t="s">
        <v>17</v>
      </c>
      <c r="U48" s="67" t="s">
        <v>17</v>
      </c>
      <c r="V48" s="67" t="s">
        <v>17</v>
      </c>
      <c r="W48" s="67" t="s">
        <v>17</v>
      </c>
      <c r="X48" s="67" t="s">
        <v>17</v>
      </c>
      <c r="Y48" s="67" t="s">
        <v>17</v>
      </c>
      <c r="Z48" s="67" t="s">
        <v>17</v>
      </c>
      <c r="AA48" s="67" t="s">
        <v>17</v>
      </c>
      <c r="AB48" s="67" t="s">
        <v>17</v>
      </c>
    </row>
    <row r="49" spans="1:29" outlineLevel="1" x14ac:dyDescent="0.35">
      <c r="A49" t="s">
        <v>12</v>
      </c>
      <c r="B49" t="s">
        <v>367</v>
      </c>
      <c r="C49" t="s">
        <v>198</v>
      </c>
      <c r="D49" t="s">
        <v>76</v>
      </c>
      <c r="F49" s="65" t="s">
        <v>207</v>
      </c>
      <c r="G49" s="66">
        <f>H49*8</f>
        <v>176</v>
      </c>
      <c r="H49" s="121">
        <f t="shared" si="14"/>
        <v>22</v>
      </c>
      <c r="I49" s="136"/>
      <c r="J49" s="66">
        <v>1</v>
      </c>
      <c r="K49" s="121">
        <f>COUNTIF(O49:AX49,"-")</f>
        <v>1</v>
      </c>
      <c r="L49" s="119">
        <f>COUNTIF(O49:Q49,"-")*J49</f>
        <v>0</v>
      </c>
      <c r="M49" s="119">
        <f>COUNTIF(R49:AC49,"-")*$J49</f>
        <v>1</v>
      </c>
      <c r="N49" s="119">
        <f>COUNTIF(AD49:AN49,"-")*$J49</f>
        <v>0</v>
      </c>
      <c r="T49" s="68" t="s">
        <v>17</v>
      </c>
    </row>
    <row r="50" spans="1:29" outlineLevel="1" x14ac:dyDescent="0.35">
      <c r="A50" t="s">
        <v>12</v>
      </c>
      <c r="B50" s="131" t="s">
        <v>399</v>
      </c>
      <c r="C50" t="s">
        <v>148</v>
      </c>
      <c r="D50" t="s">
        <v>76</v>
      </c>
      <c r="F50" s="65" t="s">
        <v>227</v>
      </c>
      <c r="G50" s="66">
        <f t="shared" ref="G50:G53" si="27">H50*8</f>
        <v>528</v>
      </c>
      <c r="H50" s="121">
        <f t="shared" si="14"/>
        <v>66</v>
      </c>
      <c r="I50" s="136"/>
      <c r="J50" s="66">
        <v>3</v>
      </c>
      <c r="K50" s="121">
        <f>COUNTIF(O50:AX50,"-")</f>
        <v>1</v>
      </c>
      <c r="L50" s="119">
        <f>COUNTIF(O50:Q50,"-")*J50</f>
        <v>0</v>
      </c>
      <c r="M50" s="119">
        <f>COUNTIF(R50:AC50,"-")*$J50</f>
        <v>3</v>
      </c>
      <c r="N50" s="119">
        <f>COUNTIF(AD50:AN50,"-")*$J50</f>
        <v>0</v>
      </c>
      <c r="AA50" s="69" t="s">
        <v>17</v>
      </c>
    </row>
    <row r="51" spans="1:29" outlineLevel="1" x14ac:dyDescent="0.35">
      <c r="A51" t="s">
        <v>12</v>
      </c>
      <c r="B51" t="s">
        <v>368</v>
      </c>
      <c r="C51" t="s">
        <v>148</v>
      </c>
      <c r="D51" t="s">
        <v>76</v>
      </c>
      <c r="F51" s="65" t="s">
        <v>229</v>
      </c>
      <c r="G51" s="66">
        <f t="shared" si="27"/>
        <v>528</v>
      </c>
      <c r="H51" s="121">
        <f t="shared" si="14"/>
        <v>66</v>
      </c>
      <c r="I51" s="136"/>
      <c r="J51" s="66">
        <v>3</v>
      </c>
      <c r="K51" s="121">
        <f>COUNTIF(O51:AX51,"-")</f>
        <v>1</v>
      </c>
      <c r="L51" s="119">
        <f>COUNTIF(O51:Q51,"-")*J51</f>
        <v>0</v>
      </c>
      <c r="M51" s="119">
        <f>COUNTIF(R51:AC51,"-")*$J51</f>
        <v>3</v>
      </c>
      <c r="N51" s="119">
        <f>COUNTIF(AD51:AN51,"-")*$J51</f>
        <v>0</v>
      </c>
      <c r="Z51" s="69" t="s">
        <v>17</v>
      </c>
    </row>
    <row r="52" spans="1:29" outlineLevel="1" x14ac:dyDescent="0.35">
      <c r="A52" t="s">
        <v>12</v>
      </c>
      <c r="B52" t="s">
        <v>263</v>
      </c>
      <c r="C52" t="s">
        <v>279</v>
      </c>
      <c r="D52" t="s">
        <v>76</v>
      </c>
      <c r="F52" s="65" t="s">
        <v>248</v>
      </c>
      <c r="G52" s="66">
        <v>0</v>
      </c>
      <c r="H52" s="121">
        <v>0</v>
      </c>
      <c r="J52" s="66">
        <v>0</v>
      </c>
      <c r="K52" s="121">
        <v>0</v>
      </c>
      <c r="L52" s="119">
        <f>COUNTIF(O52:Q52,"-")*J52</f>
        <v>0</v>
      </c>
      <c r="M52" s="119">
        <f>COUNTIF(R52:AC52,"-")*$J52</f>
        <v>0</v>
      </c>
      <c r="N52" s="119">
        <f>COUNTIF(AD52:AN52,"-")*$J52</f>
        <v>0</v>
      </c>
      <c r="AA52" s="110"/>
    </row>
    <row r="53" spans="1:29" outlineLevel="1" x14ac:dyDescent="0.35">
      <c r="A53" t="s">
        <v>12</v>
      </c>
      <c r="B53" t="s">
        <v>244</v>
      </c>
      <c r="C53" t="s">
        <v>278</v>
      </c>
      <c r="D53" t="s">
        <v>76</v>
      </c>
      <c r="F53" s="65" t="s">
        <v>204</v>
      </c>
      <c r="G53" s="66">
        <f t="shared" si="27"/>
        <v>704</v>
      </c>
      <c r="H53" s="121">
        <f t="shared" si="14"/>
        <v>88</v>
      </c>
      <c r="I53" s="136"/>
      <c r="J53" s="66">
        <v>4</v>
      </c>
      <c r="K53" s="121">
        <f>COUNTIF(O53:AX53,"-")</f>
        <v>1</v>
      </c>
      <c r="L53" s="119">
        <f>COUNTIF(O53:Q53,"-")*J53</f>
        <v>0</v>
      </c>
      <c r="M53" s="119">
        <f>COUNTIF(R53:AC53,"-")*$J53</f>
        <v>4</v>
      </c>
      <c r="N53" s="119">
        <f>COUNTIF(AD53:AN53,"-")*$J53</f>
        <v>0</v>
      </c>
      <c r="AB53" s="70" t="s">
        <v>17</v>
      </c>
    </row>
    <row r="54" spans="1:29" x14ac:dyDescent="0.35">
      <c r="A54" t="s">
        <v>12</v>
      </c>
      <c r="C54" t="s">
        <v>17</v>
      </c>
      <c r="D54" t="s">
        <v>194</v>
      </c>
      <c r="E54" s="77" t="s">
        <v>239</v>
      </c>
      <c r="F54" s="13" t="s">
        <v>194</v>
      </c>
      <c r="G54" s="12">
        <f>SUM(G55:G58)</f>
        <v>1936</v>
      </c>
      <c r="H54" s="12">
        <f>SUM(H55:H58)</f>
        <v>242</v>
      </c>
      <c r="I54" s="134">
        <f>54*G54</f>
        <v>104544</v>
      </c>
      <c r="J54" s="12">
        <f>SUM(J55:J58)</f>
        <v>8</v>
      </c>
      <c r="K54" s="12">
        <f>SUM(K55:K58)</f>
        <v>4</v>
      </c>
      <c r="L54" s="12">
        <f t="shared" ref="L54:N54" si="28">SUM(L55:L58)</f>
        <v>0</v>
      </c>
      <c r="M54" s="12">
        <f t="shared" si="28"/>
        <v>11</v>
      </c>
      <c r="N54" s="12">
        <f t="shared" si="28"/>
        <v>0</v>
      </c>
      <c r="T54" s="67" t="s">
        <v>17</v>
      </c>
      <c r="U54" s="67" t="s">
        <v>17</v>
      </c>
      <c r="V54" s="67" t="s">
        <v>17</v>
      </c>
      <c r="W54" s="67" t="s">
        <v>17</v>
      </c>
      <c r="X54" s="67" t="s">
        <v>17</v>
      </c>
      <c r="Y54" s="67" t="s">
        <v>17</v>
      </c>
      <c r="Z54" s="67" t="s">
        <v>17</v>
      </c>
      <c r="AA54" s="67" t="s">
        <v>17</v>
      </c>
      <c r="AB54" s="67" t="s">
        <v>17</v>
      </c>
      <c r="AC54" s="67" t="s">
        <v>17</v>
      </c>
    </row>
    <row r="55" spans="1:29" outlineLevel="1" x14ac:dyDescent="0.35">
      <c r="A55" t="s">
        <v>12</v>
      </c>
      <c r="B55" t="s">
        <v>369</v>
      </c>
      <c r="C55" t="s">
        <v>198</v>
      </c>
      <c r="D55" t="s">
        <v>194</v>
      </c>
      <c r="F55" s="65" t="s">
        <v>207</v>
      </c>
      <c r="G55">
        <f>H55*8</f>
        <v>176</v>
      </c>
      <c r="H55" s="121">
        <f t="shared" si="14"/>
        <v>22</v>
      </c>
      <c r="I55" s="136"/>
      <c r="J55" s="66">
        <v>1</v>
      </c>
      <c r="K55" s="121">
        <f>COUNTIF(O55:AX55,"-")</f>
        <v>1</v>
      </c>
      <c r="L55" s="119">
        <f>COUNTIF(O55:Q55,"-")*J55</f>
        <v>0</v>
      </c>
      <c r="M55" s="119">
        <f>COUNTIF(R55:AC55,"-")*$J55</f>
        <v>1</v>
      </c>
      <c r="N55" s="119">
        <f>COUNTIF(AD55:AN55,"-")*$J55</f>
        <v>0</v>
      </c>
      <c r="T55" s="68" t="s">
        <v>17</v>
      </c>
    </row>
    <row r="56" spans="1:29" outlineLevel="1" x14ac:dyDescent="0.35">
      <c r="A56" t="s">
        <v>12</v>
      </c>
      <c r="B56" t="s">
        <v>384</v>
      </c>
      <c r="C56" t="s">
        <v>148</v>
      </c>
      <c r="D56" t="s">
        <v>194</v>
      </c>
      <c r="F56" s="65" t="s">
        <v>229</v>
      </c>
      <c r="G56">
        <f t="shared" ref="G56:G58" si="29">H56*8</f>
        <v>1056</v>
      </c>
      <c r="H56" s="121">
        <f t="shared" si="14"/>
        <v>132</v>
      </c>
      <c r="I56" s="136"/>
      <c r="J56" s="66">
        <v>3</v>
      </c>
      <c r="K56" s="121">
        <f>COUNTIF(O56:AX56,"-")</f>
        <v>2</v>
      </c>
      <c r="L56" s="119">
        <f>COUNTIF(O56:Q56,"-")*J56</f>
        <v>0</v>
      </c>
      <c r="M56" s="119">
        <f>COUNTIF(R56:AC56,"-")*$J56</f>
        <v>6</v>
      </c>
      <c r="N56" s="119">
        <f>COUNTIF(AD56:AN56,"-")*$J56</f>
        <v>0</v>
      </c>
      <c r="AA56" s="69" t="s">
        <v>17</v>
      </c>
      <c r="AB56" s="69" t="s">
        <v>17</v>
      </c>
    </row>
    <row r="57" spans="1:29" outlineLevel="1" x14ac:dyDescent="0.35">
      <c r="A57" t="s">
        <v>12</v>
      </c>
      <c r="B57" t="s">
        <v>263</v>
      </c>
      <c r="C57" t="s">
        <v>279</v>
      </c>
      <c r="D57" t="s">
        <v>194</v>
      </c>
      <c r="F57" s="65" t="s">
        <v>248</v>
      </c>
      <c r="G57">
        <v>0</v>
      </c>
      <c r="H57" s="121">
        <v>0</v>
      </c>
      <c r="J57" s="66">
        <v>0</v>
      </c>
      <c r="K57" s="121">
        <v>0</v>
      </c>
      <c r="L57" s="119">
        <f>COUNTIF(O57:Q57,"-")*J57</f>
        <v>0</v>
      </c>
      <c r="M57" s="119">
        <f>COUNTIF(R57:AC57,"-")*$J57</f>
        <v>0</v>
      </c>
      <c r="N57" s="119">
        <f>COUNTIF(AD57:AN57,"-")*$J57</f>
        <v>0</v>
      </c>
      <c r="AB57" s="110"/>
    </row>
    <row r="58" spans="1:29" outlineLevel="1" x14ac:dyDescent="0.35">
      <c r="A58" t="s">
        <v>12</v>
      </c>
      <c r="B58" t="s">
        <v>244</v>
      </c>
      <c r="C58" t="s">
        <v>278</v>
      </c>
      <c r="D58" t="s">
        <v>194</v>
      </c>
      <c r="F58" s="65" t="s">
        <v>204</v>
      </c>
      <c r="G58">
        <f t="shared" si="29"/>
        <v>704</v>
      </c>
      <c r="H58" s="121">
        <f t="shared" si="14"/>
        <v>88</v>
      </c>
      <c r="I58" s="136"/>
      <c r="J58" s="66">
        <v>4</v>
      </c>
      <c r="K58" s="121">
        <f>COUNTIF(O58:AX58,"-")</f>
        <v>1</v>
      </c>
      <c r="L58" s="119">
        <f>COUNTIF(O58:Q58,"-")*J58</f>
        <v>0</v>
      </c>
      <c r="M58" s="119">
        <f>COUNTIF(R58:AC58,"-")*$J58</f>
        <v>4</v>
      </c>
      <c r="N58" s="119">
        <f>COUNTIF(AD58:AN58,"-")*$J58</f>
        <v>0</v>
      </c>
      <c r="AC58" s="70" t="s">
        <v>17</v>
      </c>
    </row>
    <row r="59" spans="1:29" x14ac:dyDescent="0.35">
      <c r="A59" t="s">
        <v>12</v>
      </c>
      <c r="C59" t="s">
        <v>17</v>
      </c>
      <c r="D59" t="s">
        <v>246</v>
      </c>
      <c r="E59" t="s">
        <v>233</v>
      </c>
      <c r="F59" s="13" t="s">
        <v>195</v>
      </c>
      <c r="G59" s="12">
        <f>SUM(G60:G65)</f>
        <v>4224</v>
      </c>
      <c r="H59" s="12">
        <f>SUM(H60:H65)</f>
        <v>528</v>
      </c>
      <c r="I59" s="134">
        <f>54*G59</f>
        <v>228096</v>
      </c>
      <c r="J59" s="12">
        <f>SUM(J60:J65)</f>
        <v>15</v>
      </c>
      <c r="K59" s="12">
        <f t="shared" ref="K59:N59" si="30">SUM(K60:K65)</f>
        <v>8</v>
      </c>
      <c r="L59" s="12">
        <f t="shared" si="30"/>
        <v>0</v>
      </c>
      <c r="M59" s="12">
        <f t="shared" si="30"/>
        <v>24</v>
      </c>
      <c r="N59" s="12">
        <f t="shared" si="30"/>
        <v>0</v>
      </c>
      <c r="T59" s="67" t="s">
        <v>17</v>
      </c>
      <c r="U59" s="67" t="s">
        <v>17</v>
      </c>
      <c r="V59" s="67" t="s">
        <v>17</v>
      </c>
      <c r="W59" s="67" t="s">
        <v>17</v>
      </c>
      <c r="X59" s="67" t="s">
        <v>17</v>
      </c>
    </row>
    <row r="60" spans="1:29" outlineLevel="1" x14ac:dyDescent="0.35">
      <c r="A60" t="s">
        <v>12</v>
      </c>
      <c r="B60" t="s">
        <v>370</v>
      </c>
      <c r="C60" t="s">
        <v>198</v>
      </c>
      <c r="D60" t="s">
        <v>246</v>
      </c>
      <c r="F60" s="65" t="s">
        <v>230</v>
      </c>
      <c r="G60">
        <f>H60*8</f>
        <v>352</v>
      </c>
      <c r="H60" s="121">
        <f t="shared" si="14"/>
        <v>44</v>
      </c>
      <c r="I60" s="136"/>
      <c r="J60" s="66">
        <v>2</v>
      </c>
      <c r="K60" s="121">
        <f>COUNTIF(O60:AX60,"-")</f>
        <v>1</v>
      </c>
      <c r="L60" s="119">
        <f t="shared" ref="L60:L65" si="31">COUNTIF(O60:Q60,"-")*J60</f>
        <v>0</v>
      </c>
      <c r="M60" s="119">
        <f t="shared" ref="M60:M65" si="32">COUNTIF(R60:AC60,"-")*$J60</f>
        <v>2</v>
      </c>
      <c r="N60" s="119">
        <f t="shared" ref="N60:N65" si="33">COUNTIF(AD60:AN60,"-")*$J60</f>
        <v>0</v>
      </c>
      <c r="T60" s="68" t="s">
        <v>17</v>
      </c>
    </row>
    <row r="61" spans="1:29" outlineLevel="1" x14ac:dyDescent="0.35">
      <c r="A61" t="s">
        <v>12</v>
      </c>
      <c r="B61" s="131" t="s">
        <v>399</v>
      </c>
      <c r="C61" t="s">
        <v>198</v>
      </c>
      <c r="D61" t="s">
        <v>246</v>
      </c>
      <c r="F61" s="65" t="s">
        <v>231</v>
      </c>
      <c r="G61">
        <f t="shared" ref="G61:G65" si="34">H61*8</f>
        <v>1056</v>
      </c>
      <c r="H61" s="121">
        <f t="shared" si="14"/>
        <v>132</v>
      </c>
      <c r="I61" s="136"/>
      <c r="J61" s="66">
        <v>3</v>
      </c>
      <c r="K61" s="121">
        <f>COUNTIF(O61:AX61,"-")</f>
        <v>2</v>
      </c>
      <c r="L61" s="119">
        <f t="shared" si="31"/>
        <v>0</v>
      </c>
      <c r="M61" s="119">
        <f t="shared" si="32"/>
        <v>6</v>
      </c>
      <c r="N61" s="119">
        <f t="shared" si="33"/>
        <v>0</v>
      </c>
      <c r="T61" s="68" t="s">
        <v>17</v>
      </c>
      <c r="U61" s="68" t="s">
        <v>17</v>
      </c>
    </row>
    <row r="62" spans="1:29" outlineLevel="1" x14ac:dyDescent="0.35">
      <c r="A62" t="s">
        <v>12</v>
      </c>
      <c r="B62" t="s">
        <v>371</v>
      </c>
      <c r="C62" t="s">
        <v>148</v>
      </c>
      <c r="D62" t="s">
        <v>246</v>
      </c>
      <c r="F62" s="65" t="s">
        <v>229</v>
      </c>
      <c r="G62">
        <f t="shared" si="34"/>
        <v>1056</v>
      </c>
      <c r="H62" s="121">
        <f t="shared" si="14"/>
        <v>132</v>
      </c>
      <c r="I62" s="136"/>
      <c r="J62" s="66">
        <v>3</v>
      </c>
      <c r="K62" s="121">
        <f>COUNTIF(O62:AX62,"-")</f>
        <v>2</v>
      </c>
      <c r="L62" s="119">
        <f t="shared" si="31"/>
        <v>0</v>
      </c>
      <c r="M62" s="119">
        <f t="shared" si="32"/>
        <v>6</v>
      </c>
      <c r="N62" s="119">
        <f t="shared" si="33"/>
        <v>0</v>
      </c>
      <c r="V62" s="69" t="s">
        <v>17</v>
      </c>
      <c r="W62" s="69" t="s">
        <v>17</v>
      </c>
    </row>
    <row r="63" spans="1:29" outlineLevel="1" x14ac:dyDescent="0.35">
      <c r="A63" t="s">
        <v>12</v>
      </c>
      <c r="B63" s="131" t="s">
        <v>399</v>
      </c>
      <c r="C63" t="s">
        <v>148</v>
      </c>
      <c r="D63" t="s">
        <v>246</v>
      </c>
      <c r="F63" s="65" t="s">
        <v>227</v>
      </c>
      <c r="G63">
        <f t="shared" si="34"/>
        <v>1056</v>
      </c>
      <c r="H63" s="121">
        <f t="shared" si="14"/>
        <v>132</v>
      </c>
      <c r="I63" s="136"/>
      <c r="J63" s="66">
        <v>3</v>
      </c>
      <c r="K63" s="121">
        <f>COUNTIF(O63:AX63,"-")</f>
        <v>2</v>
      </c>
      <c r="L63" s="119">
        <f t="shared" si="31"/>
        <v>0</v>
      </c>
      <c r="M63" s="119">
        <f t="shared" si="32"/>
        <v>6</v>
      </c>
      <c r="N63" s="119">
        <f t="shared" si="33"/>
        <v>0</v>
      </c>
      <c r="V63" s="73" t="s">
        <v>17</v>
      </c>
      <c r="W63" s="73" t="s">
        <v>17</v>
      </c>
    </row>
    <row r="64" spans="1:29" ht="16" customHeight="1" outlineLevel="1" x14ac:dyDescent="0.35">
      <c r="A64" t="s">
        <v>12</v>
      </c>
      <c r="B64" t="s">
        <v>263</v>
      </c>
      <c r="C64" t="s">
        <v>279</v>
      </c>
      <c r="D64" t="s">
        <v>246</v>
      </c>
      <c r="F64" s="65" t="s">
        <v>248</v>
      </c>
      <c r="G64">
        <v>0</v>
      </c>
      <c r="H64" s="121">
        <v>0</v>
      </c>
      <c r="J64" s="66">
        <v>0</v>
      </c>
      <c r="K64" s="121">
        <v>0</v>
      </c>
      <c r="L64" s="119">
        <f t="shared" si="31"/>
        <v>0</v>
      </c>
      <c r="M64" s="119">
        <f t="shared" si="32"/>
        <v>0</v>
      </c>
      <c r="N64" s="119">
        <f t="shared" si="33"/>
        <v>0</v>
      </c>
      <c r="W64" s="110"/>
    </row>
    <row r="65" spans="1:40" outlineLevel="1" x14ac:dyDescent="0.35">
      <c r="A65" t="s">
        <v>12</v>
      </c>
      <c r="B65" t="s">
        <v>244</v>
      </c>
      <c r="C65" t="s">
        <v>278</v>
      </c>
      <c r="D65" t="s">
        <v>246</v>
      </c>
      <c r="F65" s="65" t="s">
        <v>204</v>
      </c>
      <c r="G65">
        <f t="shared" si="34"/>
        <v>704</v>
      </c>
      <c r="H65" s="121">
        <f t="shared" si="14"/>
        <v>88</v>
      </c>
      <c r="I65" s="136"/>
      <c r="J65" s="66">
        <v>4</v>
      </c>
      <c r="K65" s="121">
        <f>COUNTIF(O65:AX65,"-")</f>
        <v>1</v>
      </c>
      <c r="L65" s="119">
        <f t="shared" si="31"/>
        <v>0</v>
      </c>
      <c r="M65" s="119">
        <f t="shared" si="32"/>
        <v>4</v>
      </c>
      <c r="N65" s="119">
        <f t="shared" si="33"/>
        <v>0</v>
      </c>
      <c r="X65" s="70" t="s">
        <v>17</v>
      </c>
    </row>
    <row r="66" spans="1:40" x14ac:dyDescent="0.35">
      <c r="A66" t="s">
        <v>12</v>
      </c>
      <c r="C66" t="s">
        <v>17</v>
      </c>
      <c r="D66" t="s">
        <v>262</v>
      </c>
      <c r="E66" t="s">
        <v>274</v>
      </c>
      <c r="F66" s="75" t="s">
        <v>232</v>
      </c>
      <c r="G66" s="119">
        <f>SUM(G67:G70)</f>
        <v>10736</v>
      </c>
      <c r="H66" s="119">
        <f t="shared" ref="H66:N66" si="35">SUM(H67:H70)</f>
        <v>1342</v>
      </c>
      <c r="I66" s="134">
        <f>54*G66</f>
        <v>579744</v>
      </c>
      <c r="J66" s="119">
        <f>SUM(J67:J70)</f>
        <v>6</v>
      </c>
      <c r="K66" s="119">
        <f t="shared" si="35"/>
        <v>27</v>
      </c>
      <c r="L66" s="119">
        <f t="shared" si="35"/>
        <v>9</v>
      </c>
      <c r="M66" s="119">
        <f t="shared" si="35"/>
        <v>17</v>
      </c>
      <c r="N66" s="119">
        <f t="shared" si="35"/>
        <v>35</v>
      </c>
      <c r="O66" s="67" t="s">
        <v>17</v>
      </c>
      <c r="P66" s="67" t="s">
        <v>17</v>
      </c>
      <c r="Q66" s="67" t="s">
        <v>17</v>
      </c>
      <c r="R66" s="67" t="s">
        <v>17</v>
      </c>
      <c r="S66" s="67" t="s">
        <v>17</v>
      </c>
      <c r="T66" s="67" t="s">
        <v>17</v>
      </c>
      <c r="U66" s="67" t="s">
        <v>17</v>
      </c>
      <c r="V66" s="67" t="s">
        <v>17</v>
      </c>
      <c r="W66" s="67" t="s">
        <v>17</v>
      </c>
      <c r="X66" s="67" t="s">
        <v>17</v>
      </c>
      <c r="Y66" s="67" t="s">
        <v>17</v>
      </c>
      <c r="Z66" s="67" t="s">
        <v>17</v>
      </c>
      <c r="AA66" s="67" t="s">
        <v>17</v>
      </c>
      <c r="AB66" s="67" t="s">
        <v>17</v>
      </c>
      <c r="AC66" s="67" t="s">
        <v>17</v>
      </c>
      <c r="AD66" s="67" t="s">
        <v>17</v>
      </c>
      <c r="AE66" s="67" t="s">
        <v>17</v>
      </c>
      <c r="AF66" s="67" t="s">
        <v>17</v>
      </c>
      <c r="AG66" s="67" t="s">
        <v>17</v>
      </c>
      <c r="AH66" s="67" t="s">
        <v>17</v>
      </c>
      <c r="AI66" s="67" t="s">
        <v>17</v>
      </c>
      <c r="AJ66" s="67" t="s">
        <v>17</v>
      </c>
      <c r="AK66" s="67" t="s">
        <v>17</v>
      </c>
      <c r="AL66" s="67" t="s">
        <v>17</v>
      </c>
      <c r="AM66" s="67" t="s">
        <v>17</v>
      </c>
      <c r="AN66" s="67" t="s">
        <v>17</v>
      </c>
    </row>
    <row r="67" spans="1:40" outlineLevel="1" x14ac:dyDescent="0.35">
      <c r="A67" t="s">
        <v>12</v>
      </c>
      <c r="B67" t="s">
        <v>363</v>
      </c>
      <c r="C67" t="s">
        <v>198</v>
      </c>
      <c r="D67" t="s">
        <v>262</v>
      </c>
      <c r="E67" s="77"/>
      <c r="F67" s="65" t="s">
        <v>230</v>
      </c>
      <c r="G67">
        <f>H67*8</f>
        <v>704</v>
      </c>
      <c r="H67" s="121">
        <f t="shared" si="14"/>
        <v>88</v>
      </c>
      <c r="I67" s="136"/>
      <c r="J67" s="66">
        <v>1</v>
      </c>
      <c r="K67" s="121">
        <f>COUNTIF(O67:AX67,"-")</f>
        <v>4</v>
      </c>
      <c r="L67" s="119">
        <f t="shared" ref="L67:L86" si="36">COUNTIF(O67:Q67,"-")*J67</f>
        <v>0</v>
      </c>
      <c r="M67" s="119">
        <f t="shared" ref="M67:M86" si="37">COUNTIF(R67:AC67,"-")*$J67</f>
        <v>4</v>
      </c>
      <c r="N67" s="119">
        <f t="shared" ref="N67:N86" si="38">COUNTIF(AD67:AN67,"-")*$J67</f>
        <v>0</v>
      </c>
      <c r="U67" s="68" t="s">
        <v>17</v>
      </c>
      <c r="V67" s="68" t="s">
        <v>17</v>
      </c>
      <c r="W67" s="68" t="s">
        <v>17</v>
      </c>
      <c r="X67" s="68" t="s">
        <v>17</v>
      </c>
    </row>
    <row r="68" spans="1:40" outlineLevel="1" x14ac:dyDescent="0.35">
      <c r="A68" t="s">
        <v>12</v>
      </c>
      <c r="B68" t="s">
        <v>385</v>
      </c>
      <c r="C68" t="s">
        <v>148</v>
      </c>
      <c r="D68" t="s">
        <v>262</v>
      </c>
      <c r="E68" s="77"/>
      <c r="F68" s="65" t="s">
        <v>229</v>
      </c>
      <c r="G68">
        <f t="shared" ref="G68:G86" si="39">H68*8</f>
        <v>4224</v>
      </c>
      <c r="H68" s="121">
        <f t="shared" si="14"/>
        <v>528</v>
      </c>
      <c r="I68" s="136"/>
      <c r="J68" s="66">
        <v>2</v>
      </c>
      <c r="K68" s="121">
        <f>COUNTIF(O68:AX68,"-")</f>
        <v>12</v>
      </c>
      <c r="L68" s="119">
        <f t="shared" si="36"/>
        <v>0</v>
      </c>
      <c r="M68" s="119">
        <f t="shared" si="37"/>
        <v>10</v>
      </c>
      <c r="N68" s="119">
        <f t="shared" si="38"/>
        <v>14</v>
      </c>
      <c r="Y68" s="69" t="s">
        <v>17</v>
      </c>
      <c r="Z68" s="69" t="s">
        <v>17</v>
      </c>
      <c r="AA68" s="69" t="s">
        <v>17</v>
      </c>
      <c r="AB68" s="69" t="s">
        <v>17</v>
      </c>
      <c r="AC68" s="69" t="s">
        <v>17</v>
      </c>
      <c r="AD68" s="69" t="s">
        <v>17</v>
      </c>
      <c r="AE68" s="69" t="s">
        <v>17</v>
      </c>
      <c r="AF68" s="69" t="s">
        <v>17</v>
      </c>
      <c r="AG68" s="69" t="s">
        <v>17</v>
      </c>
      <c r="AH68" s="69" t="s">
        <v>17</v>
      </c>
      <c r="AI68" s="69" t="s">
        <v>17</v>
      </c>
      <c r="AJ68" s="69" t="s">
        <v>17</v>
      </c>
    </row>
    <row r="69" spans="1:40" outlineLevel="1" x14ac:dyDescent="0.35">
      <c r="A69" t="s">
        <v>12</v>
      </c>
      <c r="B69" t="s">
        <v>263</v>
      </c>
      <c r="C69" t="s">
        <v>279</v>
      </c>
      <c r="D69" t="s">
        <v>262</v>
      </c>
      <c r="E69" s="77"/>
      <c r="F69" s="65" t="s">
        <v>248</v>
      </c>
      <c r="G69">
        <v>0</v>
      </c>
      <c r="H69" s="121">
        <v>0</v>
      </c>
      <c r="J69" s="66">
        <v>0</v>
      </c>
      <c r="K69" s="121">
        <v>0</v>
      </c>
      <c r="L69" s="119">
        <f t="shared" si="36"/>
        <v>0</v>
      </c>
      <c r="M69" s="119">
        <f t="shared" si="37"/>
        <v>0</v>
      </c>
      <c r="N69" s="119">
        <f t="shared" si="38"/>
        <v>0</v>
      </c>
      <c r="AG69" s="110"/>
      <c r="AH69" s="110"/>
    </row>
    <row r="70" spans="1:40" outlineLevel="1" x14ac:dyDescent="0.35">
      <c r="A70" t="s">
        <v>12</v>
      </c>
      <c r="B70" t="s">
        <v>244</v>
      </c>
      <c r="C70" t="s">
        <v>278</v>
      </c>
      <c r="D70" t="s">
        <v>262</v>
      </c>
      <c r="E70" s="77"/>
      <c r="F70" s="65" t="s">
        <v>204</v>
      </c>
      <c r="G70">
        <f t="shared" si="39"/>
        <v>5808</v>
      </c>
      <c r="H70" s="121">
        <f t="shared" si="14"/>
        <v>726</v>
      </c>
      <c r="I70" s="136"/>
      <c r="J70" s="66">
        <v>3</v>
      </c>
      <c r="K70" s="121">
        <f>COUNTIF(O70:AX70,"-")</f>
        <v>11</v>
      </c>
      <c r="L70" s="121">
        <f t="shared" si="36"/>
        <v>9</v>
      </c>
      <c r="M70" s="119">
        <f t="shared" si="37"/>
        <v>3</v>
      </c>
      <c r="N70" s="119">
        <f t="shared" si="38"/>
        <v>21</v>
      </c>
      <c r="O70" s="70" t="s">
        <v>17</v>
      </c>
      <c r="P70" s="70" t="s">
        <v>17</v>
      </c>
      <c r="Q70" s="70" t="s">
        <v>17</v>
      </c>
      <c r="R70" s="70" t="s">
        <v>17</v>
      </c>
      <c r="AH70" s="70" t="s">
        <v>17</v>
      </c>
      <c r="AI70" s="70" t="s">
        <v>17</v>
      </c>
      <c r="AJ70" s="70" t="s">
        <v>17</v>
      </c>
      <c r="AK70" s="70" t="s">
        <v>17</v>
      </c>
      <c r="AL70" s="70" t="s">
        <v>17</v>
      </c>
      <c r="AM70" s="70" t="s">
        <v>17</v>
      </c>
      <c r="AN70" s="70" t="s">
        <v>17</v>
      </c>
    </row>
    <row r="71" spans="1:40" outlineLevel="2" x14ac:dyDescent="0.35">
      <c r="E71" s="77" t="s">
        <v>266</v>
      </c>
      <c r="F71" s="65" t="s">
        <v>204</v>
      </c>
      <c r="G71">
        <f t="shared" si="39"/>
        <v>107.84400000000001</v>
      </c>
      <c r="H71" s="121">
        <f t="shared" si="14"/>
        <v>13.480500000000001</v>
      </c>
      <c r="J71" s="66">
        <v>1</v>
      </c>
      <c r="K71" s="121">
        <v>0.61275000000000002</v>
      </c>
      <c r="L71" s="119">
        <f t="shared" si="36"/>
        <v>0</v>
      </c>
      <c r="M71" s="119">
        <f t="shared" si="37"/>
        <v>0</v>
      </c>
      <c r="N71" s="119">
        <f t="shared" si="38"/>
        <v>0</v>
      </c>
    </row>
    <row r="72" spans="1:40" outlineLevel="2" x14ac:dyDescent="0.35">
      <c r="E72" s="77" t="s">
        <v>267</v>
      </c>
      <c r="F72" s="65" t="s">
        <v>204</v>
      </c>
      <c r="G72">
        <f t="shared" si="39"/>
        <v>88.616000000000014</v>
      </c>
      <c r="H72" s="121">
        <f t="shared" si="14"/>
        <v>11.077000000000002</v>
      </c>
      <c r="J72" s="66">
        <v>1</v>
      </c>
      <c r="K72" s="121">
        <v>0.50350000000000006</v>
      </c>
      <c r="L72" s="119">
        <f t="shared" si="36"/>
        <v>0</v>
      </c>
      <c r="M72" s="119">
        <f t="shared" si="37"/>
        <v>0</v>
      </c>
      <c r="N72" s="119">
        <f t="shared" si="38"/>
        <v>0</v>
      </c>
    </row>
    <row r="73" spans="1:40" outlineLevel="2" x14ac:dyDescent="0.35">
      <c r="E73" s="77" t="s">
        <v>268</v>
      </c>
      <c r="F73" s="65" t="s">
        <v>204</v>
      </c>
      <c r="G73">
        <f t="shared" si="39"/>
        <v>229.06400000000002</v>
      </c>
      <c r="H73" s="121">
        <f t="shared" si="14"/>
        <v>28.633000000000003</v>
      </c>
      <c r="J73" s="66">
        <v>1</v>
      </c>
      <c r="K73" s="121">
        <v>1.3015000000000001</v>
      </c>
      <c r="L73" s="119">
        <f t="shared" si="36"/>
        <v>0</v>
      </c>
      <c r="M73" s="119">
        <f t="shared" si="37"/>
        <v>0</v>
      </c>
      <c r="N73" s="119">
        <f t="shared" si="38"/>
        <v>0</v>
      </c>
    </row>
    <row r="74" spans="1:40" outlineLevel="2" x14ac:dyDescent="0.35">
      <c r="E74" s="77" t="s">
        <v>269</v>
      </c>
      <c r="F74" s="65" t="s">
        <v>204</v>
      </c>
      <c r="G74">
        <f t="shared" si="39"/>
        <v>403.78800000000001</v>
      </c>
      <c r="H74" s="121">
        <f t="shared" si="14"/>
        <v>50.473500000000001</v>
      </c>
      <c r="J74" s="66">
        <v>1</v>
      </c>
      <c r="K74" s="121">
        <v>2.2942499999999999</v>
      </c>
      <c r="L74" s="119">
        <f t="shared" si="36"/>
        <v>0</v>
      </c>
      <c r="M74" s="119">
        <f t="shared" si="37"/>
        <v>0</v>
      </c>
      <c r="N74" s="119">
        <f t="shared" si="38"/>
        <v>0</v>
      </c>
    </row>
    <row r="75" spans="1:40" outlineLevel="2" x14ac:dyDescent="0.35">
      <c r="E75" s="77" t="s">
        <v>269</v>
      </c>
      <c r="F75" s="65" t="s">
        <v>204</v>
      </c>
      <c r="G75">
        <f t="shared" si="39"/>
        <v>403.78800000000001</v>
      </c>
      <c r="H75" s="121">
        <f t="shared" si="14"/>
        <v>50.473500000000001</v>
      </c>
      <c r="J75" s="66">
        <v>1</v>
      </c>
      <c r="K75" s="121">
        <v>2.2942499999999999</v>
      </c>
      <c r="L75" s="119">
        <f t="shared" si="36"/>
        <v>0</v>
      </c>
      <c r="M75" s="119">
        <f t="shared" si="37"/>
        <v>0</v>
      </c>
      <c r="N75" s="119">
        <f t="shared" si="38"/>
        <v>0</v>
      </c>
    </row>
    <row r="76" spans="1:40" outlineLevel="2" x14ac:dyDescent="0.35">
      <c r="E76" s="77" t="s">
        <v>270</v>
      </c>
      <c r="F76" s="65" t="s">
        <v>204</v>
      </c>
      <c r="G76">
        <f t="shared" si="39"/>
        <v>403.78800000000001</v>
      </c>
      <c r="H76" s="121">
        <f t="shared" ref="H76:H99" si="40">J76*K76*22</f>
        <v>50.473500000000001</v>
      </c>
      <c r="J76" s="66">
        <v>1</v>
      </c>
      <c r="K76" s="121">
        <v>2.2942499999999999</v>
      </c>
      <c r="L76" s="119">
        <f t="shared" si="36"/>
        <v>0</v>
      </c>
      <c r="M76" s="119">
        <f t="shared" si="37"/>
        <v>0</v>
      </c>
      <c r="N76" s="119">
        <f t="shared" si="38"/>
        <v>0</v>
      </c>
    </row>
    <row r="77" spans="1:40" outlineLevel="2" x14ac:dyDescent="0.35">
      <c r="E77" s="77" t="s">
        <v>243</v>
      </c>
      <c r="F77" s="65" t="s">
        <v>204</v>
      </c>
      <c r="G77">
        <f t="shared" si="39"/>
        <v>403.78800000000001</v>
      </c>
      <c r="H77" s="121">
        <f t="shared" si="40"/>
        <v>50.473500000000001</v>
      </c>
      <c r="J77" s="66">
        <v>1</v>
      </c>
      <c r="K77" s="121">
        <v>2.2942499999999999</v>
      </c>
      <c r="L77" s="119">
        <f t="shared" si="36"/>
        <v>0</v>
      </c>
      <c r="M77" s="119">
        <f t="shared" si="37"/>
        <v>0</v>
      </c>
      <c r="N77" s="119">
        <f t="shared" si="38"/>
        <v>0</v>
      </c>
    </row>
    <row r="78" spans="1:40" outlineLevel="2" x14ac:dyDescent="0.35">
      <c r="E78" s="77"/>
      <c r="F78" s="65" t="s">
        <v>229</v>
      </c>
      <c r="G78">
        <f t="shared" si="39"/>
        <v>350.65800000000002</v>
      </c>
      <c r="H78" s="121">
        <f t="shared" si="40"/>
        <v>43.832250000000002</v>
      </c>
      <c r="J78" s="66">
        <v>1</v>
      </c>
      <c r="K78" s="121">
        <v>1.9923750000000002</v>
      </c>
      <c r="L78" s="119">
        <f t="shared" si="36"/>
        <v>0</v>
      </c>
      <c r="M78" s="119">
        <f t="shared" si="37"/>
        <v>0</v>
      </c>
      <c r="N78" s="119">
        <f t="shared" si="38"/>
        <v>0</v>
      </c>
    </row>
    <row r="79" spans="1:40" outlineLevel="2" x14ac:dyDescent="0.35">
      <c r="E79" s="77" t="s">
        <v>240</v>
      </c>
      <c r="F79" s="65" t="s">
        <v>272</v>
      </c>
      <c r="G79">
        <f t="shared" si="39"/>
        <v>658.8119999999999</v>
      </c>
      <c r="H79" s="121">
        <f t="shared" si="40"/>
        <v>82.351499999999987</v>
      </c>
      <c r="J79" s="66">
        <v>1</v>
      </c>
      <c r="K79" s="121">
        <v>3.7432499999999997</v>
      </c>
      <c r="L79" s="119">
        <f t="shared" si="36"/>
        <v>0</v>
      </c>
      <c r="M79" s="119">
        <f t="shared" si="37"/>
        <v>0</v>
      </c>
      <c r="N79" s="119">
        <f t="shared" si="38"/>
        <v>0</v>
      </c>
    </row>
    <row r="80" spans="1:40" outlineLevel="2" x14ac:dyDescent="0.35">
      <c r="E80" s="77"/>
      <c r="F80" s="65" t="s">
        <v>204</v>
      </c>
      <c r="G80">
        <f t="shared" si="39"/>
        <v>403.78800000000001</v>
      </c>
      <c r="H80" s="121">
        <f t="shared" si="40"/>
        <v>50.473500000000001</v>
      </c>
      <c r="J80" s="66">
        <v>1</v>
      </c>
      <c r="K80" s="121">
        <v>2.2942499999999999</v>
      </c>
      <c r="L80" s="119">
        <f t="shared" si="36"/>
        <v>0</v>
      </c>
      <c r="M80" s="119">
        <f t="shared" si="37"/>
        <v>0</v>
      </c>
      <c r="N80" s="119">
        <f t="shared" si="38"/>
        <v>0</v>
      </c>
    </row>
    <row r="81" spans="1:40" outlineLevel="2" x14ac:dyDescent="0.35">
      <c r="E81" s="77" t="s">
        <v>242</v>
      </c>
      <c r="F81" s="65" t="s">
        <v>273</v>
      </c>
      <c r="G81">
        <f t="shared" si="39"/>
        <v>409.20000000000005</v>
      </c>
      <c r="H81" s="121">
        <f t="shared" si="40"/>
        <v>51.150000000000006</v>
      </c>
      <c r="J81" s="66">
        <v>1</v>
      </c>
      <c r="K81" s="121">
        <v>2.3250000000000002</v>
      </c>
      <c r="L81" s="119">
        <f t="shared" si="36"/>
        <v>0</v>
      </c>
      <c r="M81" s="119">
        <f t="shared" si="37"/>
        <v>0</v>
      </c>
      <c r="N81" s="119">
        <f t="shared" si="38"/>
        <v>0</v>
      </c>
    </row>
    <row r="82" spans="1:40" outlineLevel="2" x14ac:dyDescent="0.35">
      <c r="E82" s="77"/>
      <c r="F82" s="65" t="s">
        <v>204</v>
      </c>
      <c r="G82">
        <f t="shared" si="39"/>
        <v>250.8</v>
      </c>
      <c r="H82" s="121">
        <f t="shared" si="40"/>
        <v>31.35</v>
      </c>
      <c r="J82" s="66">
        <v>1</v>
      </c>
      <c r="K82" s="121">
        <v>1.425</v>
      </c>
      <c r="L82" s="119">
        <f t="shared" si="36"/>
        <v>0</v>
      </c>
      <c r="M82" s="119">
        <f t="shared" si="37"/>
        <v>0</v>
      </c>
      <c r="N82" s="119">
        <f t="shared" si="38"/>
        <v>0</v>
      </c>
    </row>
    <row r="83" spans="1:40" outlineLevel="2" x14ac:dyDescent="0.35">
      <c r="E83" t="s">
        <v>233</v>
      </c>
      <c r="F83" s="65" t="s">
        <v>272</v>
      </c>
      <c r="G83">
        <f t="shared" si="39"/>
        <v>109.12</v>
      </c>
      <c r="H83" s="121">
        <f t="shared" si="40"/>
        <v>13.64</v>
      </c>
      <c r="J83" s="66">
        <v>1</v>
      </c>
      <c r="K83" s="121">
        <v>0.62</v>
      </c>
      <c r="L83" s="119">
        <f t="shared" si="36"/>
        <v>0</v>
      </c>
      <c r="M83" s="119">
        <f t="shared" si="37"/>
        <v>0</v>
      </c>
      <c r="N83" s="119">
        <f t="shared" si="38"/>
        <v>0</v>
      </c>
    </row>
    <row r="84" spans="1:40" outlineLevel="2" x14ac:dyDescent="0.35">
      <c r="F84" s="65" t="s">
        <v>204</v>
      </c>
      <c r="G84">
        <f t="shared" si="39"/>
        <v>66.88</v>
      </c>
      <c r="H84" s="121">
        <f t="shared" si="40"/>
        <v>8.36</v>
      </c>
      <c r="J84" s="66">
        <v>1</v>
      </c>
      <c r="K84" s="121">
        <v>0.38</v>
      </c>
      <c r="L84" s="119">
        <f t="shared" si="36"/>
        <v>0</v>
      </c>
      <c r="M84" s="119">
        <f t="shared" si="37"/>
        <v>0</v>
      </c>
      <c r="N84" s="119">
        <f t="shared" si="38"/>
        <v>0</v>
      </c>
    </row>
    <row r="85" spans="1:40" outlineLevel="2" x14ac:dyDescent="0.35">
      <c r="E85" s="77" t="s">
        <v>241</v>
      </c>
      <c r="F85" s="65" t="s">
        <v>271</v>
      </c>
      <c r="G85">
        <f t="shared" si="39"/>
        <v>613.79999999999995</v>
      </c>
      <c r="H85" s="121">
        <f t="shared" si="40"/>
        <v>76.724999999999994</v>
      </c>
      <c r="J85" s="66">
        <v>1</v>
      </c>
      <c r="K85" s="121">
        <v>3.4874999999999998</v>
      </c>
      <c r="L85" s="119">
        <f t="shared" si="36"/>
        <v>0</v>
      </c>
      <c r="M85" s="119">
        <f t="shared" si="37"/>
        <v>0</v>
      </c>
      <c r="N85" s="119">
        <f t="shared" si="38"/>
        <v>0</v>
      </c>
    </row>
    <row r="86" spans="1:40" outlineLevel="2" x14ac:dyDescent="0.35">
      <c r="E86" s="77"/>
      <c r="F86" s="65" t="s">
        <v>204</v>
      </c>
      <c r="G86">
        <f t="shared" si="39"/>
        <v>376.20000000000005</v>
      </c>
      <c r="H86" s="121">
        <f t="shared" si="40"/>
        <v>47.025000000000006</v>
      </c>
      <c r="J86" s="66">
        <v>1</v>
      </c>
      <c r="K86" s="121">
        <v>2.1375000000000002</v>
      </c>
      <c r="L86" s="119">
        <f t="shared" si="36"/>
        <v>0</v>
      </c>
      <c r="M86" s="119">
        <f t="shared" si="37"/>
        <v>0</v>
      </c>
      <c r="N86" s="119">
        <f t="shared" si="38"/>
        <v>0</v>
      </c>
    </row>
    <row r="87" spans="1:40" ht="15" customHeight="1" x14ac:dyDescent="0.35">
      <c r="A87" t="s">
        <v>12</v>
      </c>
      <c r="C87" t="s">
        <v>17</v>
      </c>
      <c r="D87" s="44" t="s">
        <v>282</v>
      </c>
      <c r="E87" s="118">
        <v>130487</v>
      </c>
      <c r="F87" s="13" t="s">
        <v>355</v>
      </c>
      <c r="G87" s="12">
        <f>SUM(G88:G89)</f>
        <v>1056</v>
      </c>
      <c r="H87" s="12">
        <f t="shared" ref="H87:N87" si="41">SUM(H88:H89)</f>
        <v>132</v>
      </c>
      <c r="I87" s="134">
        <f>54*G87</f>
        <v>57024</v>
      </c>
      <c r="J87" s="12">
        <f t="shared" si="41"/>
        <v>6</v>
      </c>
      <c r="K87" s="12">
        <f t="shared" si="41"/>
        <v>2</v>
      </c>
      <c r="L87" s="12">
        <f t="shared" si="41"/>
        <v>0</v>
      </c>
      <c r="M87" s="12">
        <f t="shared" si="41"/>
        <v>6</v>
      </c>
      <c r="N87" s="12">
        <f t="shared" si="41"/>
        <v>0</v>
      </c>
      <c r="AB87" s="67" t="s">
        <v>17</v>
      </c>
      <c r="AC87" s="67" t="s">
        <v>17</v>
      </c>
    </row>
    <row r="88" spans="1:40" outlineLevel="1" x14ac:dyDescent="0.35">
      <c r="A88" t="s">
        <v>12</v>
      </c>
      <c r="B88" s="131" t="s">
        <v>378</v>
      </c>
      <c r="C88" t="s">
        <v>148</v>
      </c>
      <c r="D88" s="44" t="s">
        <v>282</v>
      </c>
      <c r="F88" t="s">
        <v>148</v>
      </c>
      <c r="G88">
        <f>H88*8</f>
        <v>352</v>
      </c>
      <c r="H88" s="121">
        <f t="shared" si="40"/>
        <v>44</v>
      </c>
      <c r="I88" s="136"/>
      <c r="J88">
        <v>2</v>
      </c>
      <c r="K88" s="121">
        <f t="shared" ref="K88:K89" si="42">COUNTIF(O88:AX88,"-")</f>
        <v>1</v>
      </c>
      <c r="L88" s="119">
        <f>COUNTIF(O88:Q88,"-")*J88</f>
        <v>0</v>
      </c>
      <c r="M88" s="119">
        <f>COUNTIF(R88:AC88,"-")*$J88</f>
        <v>2</v>
      </c>
      <c r="N88" s="119">
        <f>COUNTIF(AD88:AN88,"-")*$J88</f>
        <v>0</v>
      </c>
      <c r="AB88" s="73" t="s">
        <v>17</v>
      </c>
    </row>
    <row r="89" spans="1:40" outlineLevel="1" x14ac:dyDescent="0.35">
      <c r="A89" t="s">
        <v>12</v>
      </c>
      <c r="B89" t="s">
        <v>244</v>
      </c>
      <c r="C89" t="s">
        <v>278</v>
      </c>
      <c r="D89" s="44" t="s">
        <v>282</v>
      </c>
      <c r="F89" t="s">
        <v>204</v>
      </c>
      <c r="G89">
        <f>H89*8</f>
        <v>704</v>
      </c>
      <c r="H89" s="121">
        <f t="shared" si="40"/>
        <v>88</v>
      </c>
      <c r="I89" s="136"/>
      <c r="J89">
        <v>4</v>
      </c>
      <c r="K89" s="121">
        <f t="shared" si="42"/>
        <v>1</v>
      </c>
      <c r="L89" s="119">
        <f>COUNTIF(O89:Q89,"-")*J89</f>
        <v>0</v>
      </c>
      <c r="M89" s="119">
        <f>COUNTIF(R89:AC89,"-")*$J89</f>
        <v>4</v>
      </c>
      <c r="N89" s="119">
        <f>COUNTIF(AD89:AN89,"-")*$J89</f>
        <v>0</v>
      </c>
      <c r="AC89" s="70" t="s">
        <v>17</v>
      </c>
    </row>
    <row r="90" spans="1:40" x14ac:dyDescent="0.35">
      <c r="A90" t="s">
        <v>380</v>
      </c>
      <c r="C90" t="s">
        <v>17</v>
      </c>
      <c r="D90" s="44" t="s">
        <v>283</v>
      </c>
      <c r="F90" s="13" t="s">
        <v>359</v>
      </c>
      <c r="G90" s="12">
        <f>SUM(G91)</f>
        <v>9152</v>
      </c>
      <c r="H90" s="12">
        <f t="shared" ref="H90:N90" si="43">SUM(H91)</f>
        <v>1144</v>
      </c>
      <c r="I90" s="134">
        <f>54*G90</f>
        <v>494208</v>
      </c>
      <c r="J90" s="12">
        <f t="shared" si="43"/>
        <v>2</v>
      </c>
      <c r="K90" s="12">
        <f t="shared" si="43"/>
        <v>26</v>
      </c>
      <c r="L90" s="12">
        <f t="shared" si="43"/>
        <v>6</v>
      </c>
      <c r="M90" s="12">
        <f t="shared" si="43"/>
        <v>24</v>
      </c>
      <c r="N90" s="12">
        <f t="shared" si="43"/>
        <v>22</v>
      </c>
      <c r="O90" s="67" t="s">
        <v>17</v>
      </c>
      <c r="P90" s="67" t="s">
        <v>17</v>
      </c>
      <c r="Q90" s="67" t="s">
        <v>17</v>
      </c>
      <c r="R90" s="67" t="s">
        <v>17</v>
      </c>
      <c r="S90" s="67" t="s">
        <v>17</v>
      </c>
      <c r="T90" s="67" t="s">
        <v>17</v>
      </c>
      <c r="U90" s="67" t="s">
        <v>17</v>
      </c>
      <c r="V90" s="67" t="s">
        <v>17</v>
      </c>
      <c r="W90" s="67" t="s">
        <v>17</v>
      </c>
      <c r="X90" s="67" t="s">
        <v>17</v>
      </c>
      <c r="Y90" s="67" t="s">
        <v>17</v>
      </c>
      <c r="Z90" s="67" t="s">
        <v>17</v>
      </c>
      <c r="AA90" s="67" t="s">
        <v>17</v>
      </c>
      <c r="AB90" s="67" t="s">
        <v>17</v>
      </c>
      <c r="AC90" s="67" t="s">
        <v>17</v>
      </c>
      <c r="AD90" s="67" t="s">
        <v>17</v>
      </c>
      <c r="AE90" s="67" t="s">
        <v>17</v>
      </c>
      <c r="AF90" s="67" t="s">
        <v>17</v>
      </c>
      <c r="AG90" s="67" t="s">
        <v>17</v>
      </c>
      <c r="AH90" s="67" t="s">
        <v>17</v>
      </c>
      <c r="AI90" s="67" t="s">
        <v>17</v>
      </c>
      <c r="AJ90" s="67" t="s">
        <v>17</v>
      </c>
      <c r="AK90" s="67" t="s">
        <v>17</v>
      </c>
      <c r="AL90" s="67" t="s">
        <v>17</v>
      </c>
      <c r="AM90" s="67" t="s">
        <v>17</v>
      </c>
      <c r="AN90" s="67" t="s">
        <v>17</v>
      </c>
    </row>
    <row r="91" spans="1:40" ht="14.15" customHeight="1" x14ac:dyDescent="0.35">
      <c r="A91" t="s">
        <v>380</v>
      </c>
      <c r="B91" t="s">
        <v>284</v>
      </c>
      <c r="C91" t="s">
        <v>148</v>
      </c>
      <c r="D91" s="44" t="s">
        <v>283</v>
      </c>
      <c r="F91" t="s">
        <v>148</v>
      </c>
      <c r="G91">
        <f>H91*8</f>
        <v>9152</v>
      </c>
      <c r="H91" s="121">
        <f t="shared" si="40"/>
        <v>1144</v>
      </c>
      <c r="J91">
        <v>2</v>
      </c>
      <c r="K91" s="121">
        <f>COUNTIF(O91:AX91,"-")</f>
        <v>26</v>
      </c>
      <c r="L91" s="121">
        <f>COUNTIF(O91:Q91,"-")*J91</f>
        <v>6</v>
      </c>
      <c r="M91" s="119">
        <f>COUNTIF(R91:AC91,"-")*$J91</f>
        <v>24</v>
      </c>
      <c r="N91" s="119">
        <f>COUNTIF(AD91:AN91,"-")*$J91</f>
        <v>22</v>
      </c>
      <c r="O91" s="69" t="s">
        <v>17</v>
      </c>
      <c r="P91" s="69" t="s">
        <v>17</v>
      </c>
      <c r="Q91" s="69" t="s">
        <v>17</v>
      </c>
      <c r="R91" s="69" t="s">
        <v>17</v>
      </c>
      <c r="S91" s="69" t="s">
        <v>17</v>
      </c>
      <c r="T91" s="69" t="s">
        <v>17</v>
      </c>
      <c r="U91" s="69" t="s">
        <v>17</v>
      </c>
      <c r="V91" s="69" t="s">
        <v>17</v>
      </c>
      <c r="W91" s="69" t="s">
        <v>17</v>
      </c>
      <c r="X91" s="69" t="s">
        <v>17</v>
      </c>
      <c r="Y91" s="69" t="s">
        <v>17</v>
      </c>
      <c r="Z91" s="69" t="s">
        <v>17</v>
      </c>
      <c r="AA91" s="69" t="s">
        <v>17</v>
      </c>
      <c r="AB91" s="69" t="s">
        <v>17</v>
      </c>
      <c r="AC91" s="69" t="s">
        <v>17</v>
      </c>
      <c r="AD91" s="69" t="s">
        <v>17</v>
      </c>
      <c r="AE91" s="69" t="s">
        <v>17</v>
      </c>
      <c r="AF91" s="69" t="s">
        <v>17</v>
      </c>
      <c r="AG91" s="69" t="s">
        <v>17</v>
      </c>
      <c r="AH91" s="69" t="s">
        <v>17</v>
      </c>
      <c r="AI91" s="69" t="s">
        <v>17</v>
      </c>
      <c r="AJ91" s="69" t="s">
        <v>17</v>
      </c>
      <c r="AK91" s="69" t="s">
        <v>17</v>
      </c>
      <c r="AL91" s="69" t="s">
        <v>17</v>
      </c>
      <c r="AM91" s="69" t="s">
        <v>17</v>
      </c>
      <c r="AN91" s="69" t="s">
        <v>17</v>
      </c>
    </row>
    <row r="92" spans="1:40" outlineLevel="2" x14ac:dyDescent="0.35">
      <c r="A92" t="s">
        <v>12</v>
      </c>
      <c r="C92" t="s">
        <v>17</v>
      </c>
      <c r="D92" t="s">
        <v>381</v>
      </c>
      <c r="E92" s="77" t="s">
        <v>382</v>
      </c>
      <c r="F92" s="13" t="s">
        <v>353</v>
      </c>
      <c r="G92" s="111">
        <f>SUM(G93:G95)</f>
        <v>1584</v>
      </c>
      <c r="H92" s="111">
        <f>SUM(H93:H95)</f>
        <v>198</v>
      </c>
      <c r="I92" s="134">
        <f>54*G92</f>
        <v>85536</v>
      </c>
      <c r="J92" s="111">
        <f>SUM(J93:J95)</f>
        <v>5</v>
      </c>
      <c r="K92" s="111">
        <f>SUM(K93:K95)</f>
        <v>5</v>
      </c>
      <c r="L92" s="111">
        <f t="shared" ref="L92:N92" si="44">SUM(L93:L95)</f>
        <v>0</v>
      </c>
      <c r="M92" s="111">
        <f t="shared" si="44"/>
        <v>1</v>
      </c>
      <c r="N92" s="111">
        <f t="shared" si="44"/>
        <v>8</v>
      </c>
      <c r="Y92" s="67" t="s">
        <v>17</v>
      </c>
      <c r="Z92" s="67" t="s">
        <v>17</v>
      </c>
      <c r="AA92" s="67" t="s">
        <v>17</v>
      </c>
      <c r="AB92" s="67" t="s">
        <v>17</v>
      </c>
      <c r="AC92" s="67" t="s">
        <v>17</v>
      </c>
      <c r="AD92" s="67" t="s">
        <v>17</v>
      </c>
      <c r="AE92" s="67" t="s">
        <v>17</v>
      </c>
      <c r="AF92" s="67" t="s">
        <v>17</v>
      </c>
      <c r="AG92" s="67" t="s">
        <v>17</v>
      </c>
      <c r="AH92" s="67" t="s">
        <v>17</v>
      </c>
      <c r="AI92" s="67" t="s">
        <v>17</v>
      </c>
      <c r="AJ92" s="67" t="s">
        <v>17</v>
      </c>
      <c r="AK92" s="67" t="s">
        <v>17</v>
      </c>
      <c r="AL92" s="67" t="s">
        <v>17</v>
      </c>
      <c r="AM92" s="67" t="s">
        <v>17</v>
      </c>
      <c r="AN92" s="67" t="s">
        <v>17</v>
      </c>
    </row>
    <row r="93" spans="1:40" outlineLevel="2" x14ac:dyDescent="0.35">
      <c r="A93" t="s">
        <v>12</v>
      </c>
      <c r="C93" t="s">
        <v>198</v>
      </c>
      <c r="F93" t="s">
        <v>207</v>
      </c>
      <c r="G93" s="128">
        <f>H93*8</f>
        <v>176</v>
      </c>
      <c r="H93" s="129">
        <f t="shared" si="40"/>
        <v>22</v>
      </c>
      <c r="I93" s="129"/>
      <c r="J93">
        <v>1</v>
      </c>
      <c r="K93" s="129">
        <f>COUNTIF(O93:AX93,"-")</f>
        <v>1</v>
      </c>
      <c r="L93" s="119">
        <f>COUNTIF(O93:Q93,"-")*J93</f>
        <v>0</v>
      </c>
      <c r="M93" s="119">
        <f>COUNTIF(R93:AC93,"-")*$J93</f>
        <v>1</v>
      </c>
      <c r="N93" s="119">
        <f>COUNTIF(AD93:AN93,"-")*$J93</f>
        <v>0</v>
      </c>
      <c r="Y93" s="68" t="s">
        <v>17</v>
      </c>
    </row>
    <row r="94" spans="1:40" outlineLevel="2" x14ac:dyDescent="0.35">
      <c r="A94" t="s">
        <v>12</v>
      </c>
      <c r="C94" t="s">
        <v>148</v>
      </c>
      <c r="F94" t="s">
        <v>148</v>
      </c>
      <c r="G94" s="128">
        <f t="shared" ref="G94:G99" si="45">H94*8</f>
        <v>1056</v>
      </c>
      <c r="H94" s="129">
        <f t="shared" si="40"/>
        <v>132</v>
      </c>
      <c r="I94" s="129"/>
      <c r="J94">
        <v>2</v>
      </c>
      <c r="K94" s="129">
        <f>COUNTIF(O94:AX94,"-")</f>
        <v>3</v>
      </c>
      <c r="L94" s="119">
        <f>COUNTIF(O94:Q94,"-")*J94</f>
        <v>0</v>
      </c>
      <c r="M94" s="119">
        <f>COUNTIF(R94:AC94,"-")*$J94</f>
        <v>0</v>
      </c>
      <c r="N94" s="119">
        <f>COUNTIF(AD94:AN94,"-")*$J94</f>
        <v>6</v>
      </c>
      <c r="AH94" s="69" t="s">
        <v>17</v>
      </c>
      <c r="AI94" s="69" t="s">
        <v>17</v>
      </c>
      <c r="AJ94" s="69" t="s">
        <v>17</v>
      </c>
    </row>
    <row r="95" spans="1:40" outlineLevel="2" x14ac:dyDescent="0.35">
      <c r="A95" t="s">
        <v>12</v>
      </c>
      <c r="C95" t="s">
        <v>278</v>
      </c>
      <c r="F95" s="65" t="s">
        <v>204</v>
      </c>
      <c r="G95" s="128">
        <f t="shared" si="45"/>
        <v>352</v>
      </c>
      <c r="H95" s="129">
        <f t="shared" si="40"/>
        <v>44</v>
      </c>
      <c r="I95" s="129"/>
      <c r="J95">
        <v>2</v>
      </c>
      <c r="K95" s="129">
        <f>COUNTIF(O95:AX95,"-")</f>
        <v>1</v>
      </c>
      <c r="L95" s="119">
        <f>COUNTIF(O95:Q95,"-")*J95</f>
        <v>0</v>
      </c>
      <c r="M95" s="119">
        <f>COUNTIF(R95:AC95,"-")*$J95</f>
        <v>0</v>
      </c>
      <c r="N95" s="119">
        <f>COUNTIF(AD95:AN95,"-")*$J95</f>
        <v>2</v>
      </c>
      <c r="AK95" s="70" t="s">
        <v>17</v>
      </c>
    </row>
    <row r="96" spans="1:40" x14ac:dyDescent="0.35">
      <c r="A96" t="s">
        <v>12</v>
      </c>
      <c r="C96" t="s">
        <v>17</v>
      </c>
      <c r="D96" t="s">
        <v>401</v>
      </c>
      <c r="E96" t="s">
        <v>233</v>
      </c>
      <c r="F96" s="75" t="s">
        <v>400</v>
      </c>
      <c r="G96" s="111">
        <f>SUM(G97:G99)</f>
        <v>880</v>
      </c>
      <c r="H96" s="111">
        <f t="shared" ref="H96:N96" si="46">SUM(H97:H99)</f>
        <v>110</v>
      </c>
      <c r="I96" s="111">
        <f>54*G96</f>
        <v>47520</v>
      </c>
      <c r="J96" s="111">
        <f t="shared" si="46"/>
        <v>5</v>
      </c>
      <c r="K96" s="111">
        <f t="shared" si="46"/>
        <v>3</v>
      </c>
      <c r="L96" s="128">
        <f t="shared" si="46"/>
        <v>0</v>
      </c>
      <c r="M96" s="128">
        <f t="shared" si="46"/>
        <v>0</v>
      </c>
      <c r="N96" s="128">
        <f t="shared" si="46"/>
        <v>0</v>
      </c>
      <c r="Y96" s="67" t="s">
        <v>17</v>
      </c>
      <c r="Z96" s="67" t="s">
        <v>17</v>
      </c>
      <c r="AA96" s="67" t="s">
        <v>17</v>
      </c>
      <c r="AB96" s="67" t="s">
        <v>17</v>
      </c>
      <c r="AC96" s="67" t="s">
        <v>17</v>
      </c>
      <c r="AD96" s="67" t="s">
        <v>17</v>
      </c>
      <c r="AE96" s="67" t="s">
        <v>17</v>
      </c>
      <c r="AF96" s="67" t="s">
        <v>17</v>
      </c>
      <c r="AG96" s="67" t="s">
        <v>17</v>
      </c>
      <c r="AH96" s="67" t="s">
        <v>17</v>
      </c>
      <c r="AI96" s="67" t="s">
        <v>17</v>
      </c>
      <c r="AJ96" s="67" t="s">
        <v>17</v>
      </c>
      <c r="AK96" s="67" t="s">
        <v>17</v>
      </c>
      <c r="AL96" s="67" t="s">
        <v>17</v>
      </c>
    </row>
    <row r="97" spans="1:38" outlineLevel="1" x14ac:dyDescent="0.35">
      <c r="A97" t="s">
        <v>12</v>
      </c>
      <c r="C97" t="s">
        <v>198</v>
      </c>
      <c r="D97" t="s">
        <v>401</v>
      </c>
      <c r="F97" t="s">
        <v>207</v>
      </c>
      <c r="G97" s="128">
        <f t="shared" si="45"/>
        <v>176</v>
      </c>
      <c r="H97" s="129">
        <f t="shared" si="40"/>
        <v>22</v>
      </c>
      <c r="I97" s="129"/>
      <c r="J97">
        <v>1</v>
      </c>
      <c r="K97" s="129">
        <f t="shared" ref="K97:K99" si="47">COUNTIF(O97:AX97,"-")</f>
        <v>1</v>
      </c>
      <c r="L97" s="119"/>
      <c r="M97" s="119"/>
      <c r="N97" s="119"/>
      <c r="Y97" s="68" t="s">
        <v>17</v>
      </c>
    </row>
    <row r="98" spans="1:38" outlineLevel="1" x14ac:dyDescent="0.35">
      <c r="A98" t="s">
        <v>12</v>
      </c>
      <c r="C98" t="s">
        <v>148</v>
      </c>
      <c r="D98" t="s">
        <v>401</v>
      </c>
      <c r="F98" t="s">
        <v>148</v>
      </c>
      <c r="G98" s="128">
        <f t="shared" si="45"/>
        <v>352</v>
      </c>
      <c r="H98" s="129">
        <f t="shared" si="40"/>
        <v>44</v>
      </c>
      <c r="I98" s="129"/>
      <c r="J98">
        <v>2</v>
      </c>
      <c r="K98" s="129">
        <f t="shared" si="47"/>
        <v>1</v>
      </c>
      <c r="L98" s="119"/>
      <c r="M98" s="119"/>
      <c r="N98" s="119"/>
      <c r="AK98" s="69" t="s">
        <v>17</v>
      </c>
    </row>
    <row r="99" spans="1:38" outlineLevel="1" x14ac:dyDescent="0.35">
      <c r="A99" t="s">
        <v>12</v>
      </c>
      <c r="C99" t="s">
        <v>278</v>
      </c>
      <c r="D99" t="s">
        <v>401</v>
      </c>
      <c r="F99" s="65" t="s">
        <v>204</v>
      </c>
      <c r="G99" s="128">
        <f t="shared" si="45"/>
        <v>352</v>
      </c>
      <c r="H99" s="129">
        <f t="shared" si="40"/>
        <v>44</v>
      </c>
      <c r="I99" s="129"/>
      <c r="J99">
        <v>2</v>
      </c>
      <c r="K99" s="129">
        <f t="shared" si="47"/>
        <v>1</v>
      </c>
      <c r="L99" s="119"/>
      <c r="M99" s="119"/>
      <c r="N99" s="119"/>
      <c r="AL99" s="70" t="s">
        <v>17</v>
      </c>
    </row>
    <row r="100" spans="1:38" x14ac:dyDescent="0.35">
      <c r="G100" s="127">
        <f>SUM(G5:G7,G8,G21,G27,G36,G43,G48,G54,G59,G66,G87,G90,G33,G92,G96)</f>
        <v>74082</v>
      </c>
      <c r="H100" s="127">
        <f>SUM(H5:H7,H8,H21,H27,H36,H43,H48,H54,H59,H66,H87,H90,H33,H92,H96)</f>
        <v>9260.25</v>
      </c>
      <c r="I100" s="127">
        <f>SUM(I5:I7,I8,I21,I27,I36,I43,I48,I54,I59,I66,I87,I90,I33,I92,I96)</f>
        <v>4000428</v>
      </c>
      <c r="J100" s="127"/>
      <c r="K100" s="127"/>
      <c r="L100" s="132">
        <f>(SUM(L5:L7,L8,L21,L27,L36,L43,L48,L54,L59,L66,L87,L90,L92)*22*8)/G100</f>
        <v>9.7405577603196458E-2</v>
      </c>
      <c r="M100" s="132">
        <f>SUM(M5:M7,M8,M21,M27,M36,M43,M48,M54,M59,M66,M87,M90,M92)*22*8/G100</f>
        <v>0.6366998731135769</v>
      </c>
      <c r="N100" s="132">
        <f>SUM(N5:N7,N8,N21,N27,N36,N43,N48,N54,N59,N66,N87,N90,N92)*22*8/G100</f>
        <v>0.2423260711103912</v>
      </c>
    </row>
    <row r="101" spans="1:38" x14ac:dyDescent="0.35">
      <c r="G101" s="124"/>
    </row>
  </sheetData>
  <autoFilter ref="B3:K100" xr:uid="{89342025-05EC-4FBF-BFCE-FD04C4F062FC}">
    <filterColumn colId="1">
      <filters blank="1">
        <filter val="-"/>
        <filter val="Development"/>
        <filter val="Other"/>
        <filter val="Program Management"/>
        <filter val="PRSAA"/>
        <filter val="System"/>
        <filter val="V&amp;V"/>
      </filters>
    </filterColumn>
  </autoFilter>
  <mergeCells count="6">
    <mergeCell ref="R2:AC2"/>
    <mergeCell ref="AD2:AO2"/>
    <mergeCell ref="O2:Q2"/>
    <mergeCell ref="O1:Z1"/>
    <mergeCell ref="AA1:AL1"/>
    <mergeCell ref="AM1:AX1"/>
  </mergeCells>
  <phoneticPr fontId="3" type="noConversion"/>
  <hyperlinks>
    <hyperlink ref="E21" r:id="rId1" display="https://dev.azure.com/alstombologna/TMS Factory/_workitems/edit/118781" xr:uid="{419D35EC-B68C-478A-BF6B-EB95ABCDD555}"/>
    <hyperlink ref="E27" r:id="rId2" display="https://dev.azure.com/alstombologna/TMS Factory/_workitems/edit/20827" xr:uid="{7E866A86-F1AE-4026-A1AF-F201214F8C4C}"/>
    <hyperlink ref="E36" r:id="rId3" display="https://dev.azure.com/alstombologna/TMS Factory/_workitems/edit/20794" xr:uid="{9C285C32-DA31-425E-AAF4-E2FBEA19E5D1}"/>
    <hyperlink ref="E43" r:id="rId4" display="https://dev.azure.com/alstombologna/TMS Factory/_workitems/edit/20822" xr:uid="{830C2875-B263-4D11-AC23-7F9298843FEE}"/>
    <hyperlink ref="E48" r:id="rId5" display="https://dev.azure.com/alstombologna/TMS Factory/_workitems/edit/101039" xr:uid="{FEC2BA89-1CE9-4DF7-B6B0-4B8247BE6D59}"/>
    <hyperlink ref="E54" r:id="rId6" display="https://dev.azure.com/alstombologna/TMS Factory/_workitems/edit/114898" xr:uid="{559CDE1C-ACF5-4CBA-9957-2FB5176C2059}"/>
    <hyperlink ref="E87" r:id="rId7" display="130487" xr:uid="{C89D1BAC-836A-45AB-9819-262DDBB58E05}"/>
    <hyperlink ref="E92" r:id="rId8" display="https://dev.azure.com/alstombologna/TMS Factory/_workitems/edit/51270" xr:uid="{2B1C9DC3-A50D-424C-BF27-C9F8D1FB36CF}"/>
    <hyperlink ref="E85" r:id="rId9" display="https://dev.azure.com/alstombologna/TMS Factory/_workitems/edit/73144" xr:uid="{76AD6664-14A8-4559-9ECA-4464D764DB8D}"/>
    <hyperlink ref="E81" r:id="rId10" display="https://dev.azure.com/alstombologna/TMS Factory/_workitems/edit/114894" xr:uid="{B8C07376-A45A-4317-8CC0-61E9BD3DD4BB}"/>
    <hyperlink ref="E79" r:id="rId11" display="https://dev.azure.com/alstombologna/TMS Factory/_workitems/edit/108945" xr:uid="{198E2717-0CCD-425B-AC2A-210D76564AD7}"/>
    <hyperlink ref="E77" r:id="rId12" display="https://dev.azure.com/alstombologna/TMS Factory/_workitems/edit/101790" xr:uid="{082CA65F-6956-491A-AA40-306FF47C62D1}"/>
    <hyperlink ref="E76" r:id="rId13" display="https://dev.azure.com/alstombologna/TMS Factory/_workitems/edit/89186" xr:uid="{4E05671E-58CC-43A3-A6C4-094D18C3B76B}"/>
    <hyperlink ref="E75" r:id="rId14" display="https://dev.azure.com/alstombologna/TMS Factory/_workitems/edit/100558" xr:uid="{EF3F68D6-B9A0-432B-9138-150F3044D09E}"/>
    <hyperlink ref="E74" r:id="rId15" xr:uid="{D884641B-0103-45A1-A326-BBACAB6D9328}"/>
    <hyperlink ref="E73" r:id="rId16" xr:uid="{EF3DD208-CF9B-4746-85B9-3BBEE72F6091}"/>
    <hyperlink ref="E72" r:id="rId17" xr:uid="{72C8AEF9-0D30-4D1B-8458-03E32BCE9CC3}"/>
    <hyperlink ref="E71" r:id="rId18" xr:uid="{FCBCEEAF-DCB3-4B26-81DA-3F6AF71F6984}"/>
    <hyperlink ref="E33" r:id="rId19" display="https://dev.azure.com/alstombologna/TMS Factory/_workitems/edit/101033" xr:uid="{9D51DAD0-0F5E-4DC2-98C7-7C2250374257}"/>
  </hyperlinks>
  <pageMargins left="0.7" right="0.7" top="0.75" bottom="0.75" header="0.3" footer="0.3"/>
  <pageSetup orientation="portrait" r:id="rId20"/>
  <headerFooter>
    <oddHeader>&amp;R&amp;"Calibri"&amp;14&amp;K71BF44 RESTRICTED&amp;1#_x000D_</oddHeader>
  </headerFooter>
  <drawing r:id="rId21"/>
  <legacyDrawing r:id="rId2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7CABB-2067-4A9D-B77F-83D6A81785DD}">
  <sheetPr codeName="Sheet15"/>
  <dimension ref="A1:AW154"/>
  <sheetViews>
    <sheetView tabSelected="1" topLeftCell="A124" zoomScaleNormal="100" workbookViewId="0">
      <selection activeCell="C144" sqref="C144:C149"/>
    </sheetView>
  </sheetViews>
  <sheetFormatPr defaultColWidth="8.54296875" defaultRowHeight="14.5" outlineLevelRow="1" x14ac:dyDescent="0.35"/>
  <cols>
    <col min="1" max="1" width="18.54296875" bestFit="1" customWidth="1"/>
    <col min="2" max="2" width="21.26953125" bestFit="1" customWidth="1"/>
    <col min="3" max="3" width="61.1796875" bestFit="1" customWidth="1"/>
    <col min="4" max="4" width="18.54296875" bestFit="1" customWidth="1"/>
    <col min="5" max="5" width="13.36328125" bestFit="1" customWidth="1"/>
    <col min="6" max="6" width="12.453125" bestFit="1" customWidth="1"/>
    <col min="7" max="7" width="15.08984375" bestFit="1" customWidth="1"/>
    <col min="8" max="8" width="17.7265625" style="141" bestFit="1" customWidth="1"/>
    <col min="9" max="9" width="8.36328125" bestFit="1" customWidth="1"/>
    <col min="10" max="10" width="1.90625" customWidth="1"/>
    <col min="11" max="23" width="6.26953125" bestFit="1" customWidth="1"/>
    <col min="24" max="25" width="5.26953125" bestFit="1" customWidth="1"/>
    <col min="26" max="26" width="4.08984375" bestFit="1" customWidth="1"/>
    <col min="27" max="27" width="4.90625" bestFit="1" customWidth="1"/>
    <col min="28" max="28" width="3.90625" bestFit="1" customWidth="1"/>
    <col min="29" max="29" width="3.36328125" bestFit="1" customWidth="1"/>
    <col min="30" max="30" width="4.36328125" bestFit="1" customWidth="1"/>
    <col min="31" max="31" width="3.90625" bestFit="1" customWidth="1"/>
    <col min="32" max="32" width="4.08984375" bestFit="1" customWidth="1"/>
    <col min="33" max="33" width="4.6328125" bestFit="1" customWidth="1"/>
    <col min="34" max="35" width="3.90625" bestFit="1" customWidth="1"/>
    <col min="36" max="36" width="4.1796875" bestFit="1" customWidth="1"/>
    <col min="37" max="37" width="4.6328125" bestFit="1" customWidth="1"/>
    <col min="38" max="38" width="4.08984375" bestFit="1" customWidth="1"/>
    <col min="39" max="39" width="4.90625" bestFit="1" customWidth="1"/>
    <col min="40" max="40" width="3.90625" bestFit="1" customWidth="1"/>
    <col min="41" max="41" width="3.36328125" bestFit="1" customWidth="1"/>
    <col min="42" max="42" width="4.36328125" bestFit="1" customWidth="1"/>
    <col min="43" max="43" width="3.90625" bestFit="1" customWidth="1"/>
    <col min="44" max="46" width="2.1796875" bestFit="1" customWidth="1"/>
    <col min="47" max="47" width="3.90625" bestFit="1" customWidth="1"/>
    <col min="48" max="48" width="4.1796875" bestFit="1" customWidth="1"/>
    <col min="49" max="49" width="4.6328125" bestFit="1" customWidth="1"/>
  </cols>
  <sheetData>
    <row r="1" spans="1:49" hidden="1" outlineLevel="1" x14ac:dyDescent="0.35">
      <c r="A1" s="207" t="str" cm="1">
        <f t="array" ref="A1:E6">Team!A65:E70</f>
        <v>Planned Activities</v>
      </c>
      <c r="B1" s="207" t="str">
        <v>Count of Activity</v>
      </c>
      <c r="C1" s="207" t="str">
        <v>Sum of Man-hours</v>
      </c>
      <c r="D1" s="207" t="str">
        <v>Allocation</v>
      </c>
      <c r="E1" s="207" t="str">
        <v>Availability</v>
      </c>
    </row>
    <row r="2" spans="1:49" hidden="1" outlineLevel="1" x14ac:dyDescent="0.35">
      <c r="A2" t="str">
        <v>Core Development</v>
      </c>
      <c r="B2">
        <v>17</v>
      </c>
      <c r="C2">
        <v>12960</v>
      </c>
      <c r="D2">
        <v>21888</v>
      </c>
      <c r="E2" s="124">
        <v>8928</v>
      </c>
    </row>
    <row r="3" spans="1:49" hidden="1" outlineLevel="1" x14ac:dyDescent="0.35">
      <c r="A3" t="str">
        <v>System to System Integration ICONIS Core Development</v>
      </c>
      <c r="B3">
        <v>17</v>
      </c>
      <c r="C3">
        <v>12960</v>
      </c>
      <c r="D3" t="e">
        <v>#REF!</v>
      </c>
      <c r="E3" s="124" t="e">
        <v>#REF!</v>
      </c>
    </row>
    <row r="4" spans="1:49" hidden="1" outlineLevel="1" x14ac:dyDescent="0.35">
      <c r="A4" t="str">
        <v>HMI Development</v>
      </c>
      <c r="B4">
        <v>17</v>
      </c>
      <c r="C4">
        <v>52800</v>
      </c>
      <c r="D4">
        <v>20480</v>
      </c>
      <c r="E4" s="124">
        <v>-32320</v>
      </c>
    </row>
    <row r="5" spans="1:49" hidden="1" outlineLevel="1" x14ac:dyDescent="0.35">
      <c r="A5" t="str">
        <v>System</v>
      </c>
      <c r="B5">
        <v>17</v>
      </c>
      <c r="C5">
        <v>1760</v>
      </c>
      <c r="D5">
        <v>4480</v>
      </c>
      <c r="E5" s="124">
        <v>2720</v>
      </c>
    </row>
    <row r="6" spans="1:49" hidden="1" outlineLevel="1" x14ac:dyDescent="0.35">
      <c r="A6" t="str">
        <v>V&amp;V</v>
      </c>
      <c r="B6">
        <v>17</v>
      </c>
      <c r="C6">
        <v>480</v>
      </c>
      <c r="D6" t="e">
        <v>#REF!</v>
      </c>
      <c r="E6" s="124" t="e">
        <v>#REF!</v>
      </c>
    </row>
    <row r="7" spans="1:49" ht="14.5" customHeight="1" collapsed="1" x14ac:dyDescent="0.35">
      <c r="A7" s="259" t="s">
        <v>495</v>
      </c>
      <c r="B7" s="259"/>
      <c r="C7" s="259"/>
      <c r="D7" s="259"/>
      <c r="E7" s="259"/>
      <c r="F7" s="259"/>
      <c r="G7" s="259"/>
      <c r="H7" s="259"/>
      <c r="I7" s="259"/>
      <c r="J7" s="44"/>
      <c r="K7" s="254">
        <v>2024</v>
      </c>
      <c r="L7" s="254"/>
      <c r="M7" s="254"/>
      <c r="N7" s="254"/>
      <c r="O7" s="254"/>
      <c r="P7" s="254"/>
      <c r="Q7" s="254"/>
      <c r="R7" s="254"/>
      <c r="S7" s="254"/>
      <c r="T7" s="254"/>
      <c r="U7" s="254"/>
      <c r="V7" s="254"/>
      <c r="W7" s="254">
        <v>2025</v>
      </c>
      <c r="X7" s="254"/>
      <c r="Y7" s="254"/>
      <c r="Z7" s="254"/>
      <c r="AA7" s="254"/>
      <c r="AB7" s="254"/>
      <c r="AC7" s="254"/>
      <c r="AD7" s="254"/>
      <c r="AE7" s="254"/>
      <c r="AF7" s="254"/>
      <c r="AG7" s="254"/>
      <c r="AH7" s="254"/>
      <c r="AI7" s="254">
        <v>2026</v>
      </c>
      <c r="AJ7" s="254"/>
      <c r="AK7" s="254"/>
      <c r="AL7" s="254"/>
      <c r="AM7" s="254"/>
      <c r="AN7" s="254"/>
      <c r="AO7" s="254"/>
      <c r="AP7" s="254"/>
      <c r="AQ7" s="254"/>
      <c r="AR7" s="44"/>
      <c r="AS7" s="44"/>
      <c r="AT7" s="44"/>
      <c r="AU7" s="44"/>
      <c r="AV7" s="44"/>
      <c r="AW7" s="44"/>
    </row>
    <row r="8" spans="1:49" ht="14.5" customHeight="1" x14ac:dyDescent="0.35">
      <c r="A8" s="259"/>
      <c r="B8" s="259"/>
      <c r="C8" s="259"/>
      <c r="D8" s="259"/>
      <c r="E8" s="259"/>
      <c r="F8" s="259"/>
      <c r="G8" s="259"/>
      <c r="H8" s="259"/>
      <c r="I8" s="259"/>
      <c r="J8" s="44"/>
      <c r="K8" s="255" t="s">
        <v>387</v>
      </c>
      <c r="L8" s="255"/>
      <c r="M8" s="255"/>
      <c r="N8" s="256" t="s">
        <v>376</v>
      </c>
      <c r="O8" s="256"/>
      <c r="P8" s="256"/>
      <c r="Q8" s="256"/>
      <c r="R8" s="256"/>
      <c r="S8" s="256"/>
      <c r="T8" s="256"/>
      <c r="U8" s="256"/>
      <c r="V8" s="256"/>
      <c r="W8" s="256"/>
      <c r="X8" s="256"/>
      <c r="Y8" s="256"/>
      <c r="Z8" s="257" t="s">
        <v>377</v>
      </c>
      <c r="AA8" s="257"/>
      <c r="AB8" s="257"/>
      <c r="AC8" s="257"/>
      <c r="AD8" s="257"/>
      <c r="AE8" s="257"/>
      <c r="AF8" s="257"/>
      <c r="AG8" s="257"/>
      <c r="AH8" s="257"/>
      <c r="AI8" s="257"/>
      <c r="AJ8" s="257"/>
      <c r="AK8" s="257"/>
      <c r="AL8" s="258" t="s">
        <v>464</v>
      </c>
      <c r="AM8" s="258"/>
      <c r="AN8" s="258"/>
      <c r="AO8" s="258"/>
      <c r="AP8" s="258"/>
      <c r="AQ8" s="258"/>
      <c r="AR8" s="44"/>
      <c r="AS8" s="44"/>
      <c r="AT8" s="44"/>
      <c r="AU8" s="44"/>
      <c r="AV8" s="44"/>
      <c r="AW8" s="44"/>
    </row>
    <row r="9" spans="1:49" x14ac:dyDescent="0.35">
      <c r="A9" s="164" t="s">
        <v>444</v>
      </c>
      <c r="B9" s="164" t="s">
        <v>197</v>
      </c>
      <c r="C9" s="164" t="s">
        <v>190</v>
      </c>
      <c r="D9" s="164" t="s">
        <v>460</v>
      </c>
      <c r="E9" s="164" t="s">
        <v>431</v>
      </c>
      <c r="F9" s="164" t="s">
        <v>445</v>
      </c>
      <c r="G9" s="164" t="s">
        <v>446</v>
      </c>
      <c r="H9" s="165" t="s">
        <v>447</v>
      </c>
      <c r="I9" s="164" t="s">
        <v>448</v>
      </c>
      <c r="J9" s="44"/>
      <c r="K9" s="164" t="s">
        <v>209</v>
      </c>
      <c r="L9" s="164" t="s">
        <v>210</v>
      </c>
      <c r="M9" s="164" t="s">
        <v>211</v>
      </c>
      <c r="N9" s="164" t="s">
        <v>212</v>
      </c>
      <c r="O9" s="164" t="s">
        <v>216</v>
      </c>
      <c r="P9" s="164" t="s">
        <v>217</v>
      </c>
      <c r="Q9" s="164" t="s">
        <v>218</v>
      </c>
      <c r="R9" s="164" t="s">
        <v>219</v>
      </c>
      <c r="S9" s="164" t="s">
        <v>213</v>
      </c>
      <c r="T9" s="164" t="s">
        <v>220</v>
      </c>
      <c r="U9" s="164" t="s">
        <v>214</v>
      </c>
      <c r="V9" s="164" t="s">
        <v>215</v>
      </c>
      <c r="W9" s="164" t="s">
        <v>209</v>
      </c>
      <c r="X9" s="164" t="s">
        <v>210</v>
      </c>
      <c r="Y9" s="164" t="s">
        <v>211</v>
      </c>
      <c r="Z9" s="164" t="s">
        <v>212</v>
      </c>
      <c r="AA9" s="164" t="s">
        <v>216</v>
      </c>
      <c r="AB9" s="164" t="s">
        <v>217</v>
      </c>
      <c r="AC9" s="164" t="s">
        <v>218</v>
      </c>
      <c r="AD9" s="164" t="s">
        <v>219</v>
      </c>
      <c r="AE9" s="164" t="s">
        <v>213</v>
      </c>
      <c r="AF9" s="164" t="s">
        <v>220</v>
      </c>
      <c r="AG9" s="164" t="s">
        <v>214</v>
      </c>
      <c r="AH9" s="164" t="s">
        <v>215</v>
      </c>
      <c r="AI9" s="164" t="s">
        <v>209</v>
      </c>
      <c r="AJ9" s="164" t="s">
        <v>210</v>
      </c>
      <c r="AK9" s="164" t="s">
        <v>211</v>
      </c>
      <c r="AL9" s="164" t="s">
        <v>212</v>
      </c>
      <c r="AM9" s="164" t="s">
        <v>216</v>
      </c>
      <c r="AN9" s="164" t="s">
        <v>217</v>
      </c>
      <c r="AO9" s="164" t="s">
        <v>218</v>
      </c>
      <c r="AP9" s="164" t="s">
        <v>219</v>
      </c>
      <c r="AQ9" s="164" t="s">
        <v>213</v>
      </c>
      <c r="AR9" s="44"/>
      <c r="AS9" s="44"/>
      <c r="AT9" s="44"/>
      <c r="AU9" s="44"/>
      <c r="AV9" s="44"/>
      <c r="AW9" s="44"/>
    </row>
    <row r="10" spans="1:49" ht="15" thickBot="1" x14ac:dyDescent="0.4">
      <c r="A10" s="44" t="s">
        <v>23</v>
      </c>
      <c r="B10" s="44"/>
      <c r="C10" s="190" t="s">
        <v>24</v>
      </c>
      <c r="D10" s="44"/>
      <c r="E10" s="44">
        <f t="shared" ref="E10:E34" si="0">G10*160</f>
        <v>0</v>
      </c>
      <c r="F10" s="44">
        <f t="shared" ref="F10:F34" si="1">E10/8</f>
        <v>0</v>
      </c>
      <c r="G10" s="44">
        <f t="shared" ref="G10:G34" si="2">COUNTIF(K10:AT10, "-")*H10</f>
        <v>0</v>
      </c>
      <c r="H10" s="163">
        <v>1</v>
      </c>
      <c r="I10" s="44">
        <f>SUM(I11:I16)</f>
        <v>371520</v>
      </c>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row>
    <row r="11" spans="1:49" ht="15" thickBot="1" x14ac:dyDescent="0.4">
      <c r="A11" s="44" t="s">
        <v>23</v>
      </c>
      <c r="B11" s="44"/>
      <c r="C11" s="44" t="str">
        <f>$C$10&amp;" "&amp;D11</f>
        <v>System to System Integration ICONIS System</v>
      </c>
      <c r="D11" s="44" t="s">
        <v>198</v>
      </c>
      <c r="E11" s="44">
        <f t="shared" si="0"/>
        <v>640</v>
      </c>
      <c r="F11" s="44">
        <f t="shared" si="1"/>
        <v>80</v>
      </c>
      <c r="G11" s="44">
        <f t="shared" si="2"/>
        <v>4</v>
      </c>
      <c r="H11" s="163">
        <v>2</v>
      </c>
      <c r="I11" s="44">
        <f t="shared" ref="I11:I34" si="3">E11*54</f>
        <v>34560</v>
      </c>
      <c r="J11" s="44"/>
      <c r="K11" s="193" t="s">
        <v>17</v>
      </c>
      <c r="L11" s="193" t="s">
        <v>17</v>
      </c>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row>
    <row r="12" spans="1:49" ht="15" customHeight="1" thickBot="1" x14ac:dyDescent="0.4">
      <c r="A12" s="44" t="s">
        <v>23</v>
      </c>
      <c r="B12" s="44"/>
      <c r="C12" s="44" t="str">
        <f t="shared" ref="C12:C16" si="4">$C$10&amp;" "&amp;D12</f>
        <v>System to System Integration ICONIS Core Development</v>
      </c>
      <c r="D12" s="44" t="s">
        <v>459</v>
      </c>
      <c r="E12" s="44">
        <f t="shared" si="0"/>
        <v>5760</v>
      </c>
      <c r="F12" s="44">
        <f t="shared" si="1"/>
        <v>720</v>
      </c>
      <c r="G12" s="44">
        <f t="shared" si="2"/>
        <v>36</v>
      </c>
      <c r="H12" s="163">
        <v>3</v>
      </c>
      <c r="I12" s="44">
        <f t="shared" si="3"/>
        <v>311040</v>
      </c>
      <c r="J12" s="44"/>
      <c r="K12" s="192" t="s">
        <v>17</v>
      </c>
      <c r="L12" s="192" t="s">
        <v>17</v>
      </c>
      <c r="M12" s="192" t="s">
        <v>17</v>
      </c>
      <c r="N12" s="192" t="s">
        <v>17</v>
      </c>
      <c r="O12" s="192" t="s">
        <v>17</v>
      </c>
      <c r="P12" s="192" t="s">
        <v>17</v>
      </c>
      <c r="Q12" s="192" t="s">
        <v>17</v>
      </c>
      <c r="R12" s="192" t="s">
        <v>17</v>
      </c>
      <c r="S12" s="192" t="s">
        <v>17</v>
      </c>
      <c r="T12" s="192" t="s">
        <v>17</v>
      </c>
      <c r="U12" s="192" t="s">
        <v>17</v>
      </c>
      <c r="V12" s="192" t="s">
        <v>17</v>
      </c>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row>
    <row r="13" spans="1:49" ht="15" customHeight="1" x14ac:dyDescent="0.35">
      <c r="A13" s="44" t="s">
        <v>23</v>
      </c>
      <c r="B13" s="44"/>
      <c r="C13" s="44" t="str">
        <f t="shared" si="4"/>
        <v>System to System Integration ICONIS HMI Development</v>
      </c>
      <c r="D13" s="44" t="s">
        <v>227</v>
      </c>
      <c r="E13" s="44">
        <f t="shared" si="0"/>
        <v>0</v>
      </c>
      <c r="F13" s="44">
        <f t="shared" si="1"/>
        <v>0</v>
      </c>
      <c r="G13" s="44">
        <f t="shared" si="2"/>
        <v>0</v>
      </c>
      <c r="H13" s="163">
        <v>1</v>
      </c>
      <c r="I13" s="44">
        <f t="shared" si="3"/>
        <v>0</v>
      </c>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row>
    <row r="14" spans="1:49" ht="15" customHeight="1" thickBot="1" x14ac:dyDescent="0.4">
      <c r="A14" s="44" t="s">
        <v>23</v>
      </c>
      <c r="B14" s="44"/>
      <c r="C14" s="44" t="str">
        <f t="shared" si="4"/>
        <v>System to System Integration ICONIS DataPrep</v>
      </c>
      <c r="D14" s="44" t="s">
        <v>279</v>
      </c>
      <c r="E14" s="44">
        <f t="shared" si="0"/>
        <v>0</v>
      </c>
      <c r="F14" s="44">
        <f t="shared" si="1"/>
        <v>0</v>
      </c>
      <c r="G14" s="44">
        <f t="shared" si="2"/>
        <v>0</v>
      </c>
      <c r="H14" s="163">
        <v>1</v>
      </c>
      <c r="I14" s="44">
        <f t="shared" si="3"/>
        <v>0</v>
      </c>
      <c r="J14" s="44"/>
      <c r="K14" s="44"/>
      <c r="L14" s="44"/>
      <c r="M14" s="44"/>
      <c r="N14" s="44"/>
      <c r="O14" s="44"/>
      <c r="P14" s="44"/>
      <c r="Q14" s="44"/>
      <c r="R14" s="44"/>
      <c r="S14" s="44"/>
      <c r="T14" s="44"/>
      <c r="U14" s="44"/>
      <c r="V14" s="44"/>
      <c r="W14" s="254"/>
      <c r="X14" s="254"/>
      <c r="Y14" s="254"/>
      <c r="Z14" s="254"/>
      <c r="AA14" s="254"/>
      <c r="AB14" s="254"/>
      <c r="AC14" s="254"/>
      <c r="AD14" s="254"/>
      <c r="AE14" s="254"/>
      <c r="AF14" s="254"/>
      <c r="AG14" s="254"/>
      <c r="AH14" s="254"/>
      <c r="AI14" s="254"/>
      <c r="AJ14" s="254"/>
      <c r="AK14" s="254"/>
      <c r="AL14" s="254"/>
      <c r="AM14" s="254"/>
      <c r="AN14" s="254"/>
      <c r="AO14" s="254"/>
      <c r="AP14" s="254"/>
      <c r="AQ14" s="254"/>
      <c r="AR14" s="44"/>
      <c r="AS14" s="44"/>
      <c r="AT14" s="44"/>
      <c r="AU14" s="44"/>
      <c r="AV14" s="44"/>
      <c r="AW14" s="44"/>
    </row>
    <row r="15" spans="1:49" ht="15" customHeight="1" thickBot="1" x14ac:dyDescent="0.4">
      <c r="A15" s="44" t="s">
        <v>23</v>
      </c>
      <c r="B15" s="44"/>
      <c r="C15" s="44" t="str">
        <f t="shared" si="4"/>
        <v>System to System Integration ICONIS V&amp;V</v>
      </c>
      <c r="D15" s="44" t="s">
        <v>278</v>
      </c>
      <c r="E15" s="44">
        <f t="shared" si="0"/>
        <v>480</v>
      </c>
      <c r="F15" s="44">
        <f t="shared" si="1"/>
        <v>60</v>
      </c>
      <c r="G15" s="44">
        <f t="shared" si="2"/>
        <v>3</v>
      </c>
      <c r="H15" s="163">
        <v>1</v>
      </c>
      <c r="I15" s="44">
        <f t="shared" si="3"/>
        <v>25920</v>
      </c>
      <c r="J15" s="44"/>
      <c r="K15" s="164"/>
      <c r="L15" s="164"/>
      <c r="M15" s="164"/>
      <c r="N15" s="164"/>
      <c r="O15" s="164"/>
      <c r="P15" s="164"/>
      <c r="Q15" s="164"/>
      <c r="R15" s="164"/>
      <c r="S15" s="164"/>
      <c r="T15" s="164"/>
      <c r="U15" s="164"/>
      <c r="V15" s="199" t="s">
        <v>17</v>
      </c>
      <c r="W15" s="199" t="s">
        <v>17</v>
      </c>
      <c r="X15" s="199" t="s">
        <v>17</v>
      </c>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row>
    <row r="16" spans="1:49" ht="15" customHeight="1" x14ac:dyDescent="0.35">
      <c r="A16" s="44" t="s">
        <v>23</v>
      </c>
      <c r="B16" s="44"/>
      <c r="C16" s="44" t="str">
        <f t="shared" si="4"/>
        <v>System to System Integration ICONIS Other</v>
      </c>
      <c r="D16" s="44" t="s">
        <v>280</v>
      </c>
      <c r="E16" s="44">
        <f t="shared" si="0"/>
        <v>0</v>
      </c>
      <c r="F16" s="44">
        <f t="shared" si="1"/>
        <v>0</v>
      </c>
      <c r="G16" s="44">
        <f t="shared" si="2"/>
        <v>0</v>
      </c>
      <c r="H16" s="163">
        <v>1</v>
      </c>
      <c r="I16" s="44">
        <f t="shared" si="3"/>
        <v>0</v>
      </c>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row>
    <row r="17" spans="1:49" ht="15" customHeight="1" thickBot="1" x14ac:dyDescent="0.4">
      <c r="A17" s="44" t="s">
        <v>23</v>
      </c>
      <c r="B17" s="44"/>
      <c r="C17" s="190" t="s">
        <v>461</v>
      </c>
      <c r="D17" s="44"/>
      <c r="E17" s="44">
        <f t="shared" si="0"/>
        <v>0</v>
      </c>
      <c r="F17" s="44">
        <f t="shared" si="1"/>
        <v>0</v>
      </c>
      <c r="G17" s="44">
        <f t="shared" si="2"/>
        <v>0</v>
      </c>
      <c r="H17" s="163">
        <v>1</v>
      </c>
      <c r="I17" s="44">
        <f t="shared" si="3"/>
        <v>0</v>
      </c>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row>
    <row r="18" spans="1:49" ht="15" customHeight="1" thickBot="1" x14ac:dyDescent="0.4">
      <c r="A18" s="44" t="s">
        <v>23</v>
      </c>
      <c r="B18" s="44"/>
      <c r="C18" s="44" t="str">
        <f>$C$17&amp;" "&amp;D18</f>
        <v>Simplified PEF+enable/Disable System</v>
      </c>
      <c r="D18" s="44" t="s">
        <v>198</v>
      </c>
      <c r="E18" s="44">
        <f t="shared" si="0"/>
        <v>480</v>
      </c>
      <c r="F18" s="44">
        <f t="shared" si="1"/>
        <v>60</v>
      </c>
      <c r="G18" s="44">
        <f t="shared" si="2"/>
        <v>3</v>
      </c>
      <c r="H18" s="163">
        <v>1</v>
      </c>
      <c r="I18" s="44">
        <f t="shared" si="3"/>
        <v>25920</v>
      </c>
      <c r="J18" s="44"/>
      <c r="K18" s="193" t="s">
        <v>17</v>
      </c>
      <c r="L18" s="193" t="s">
        <v>17</v>
      </c>
      <c r="M18" s="193" t="s">
        <v>17</v>
      </c>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row>
    <row r="19" spans="1:49" ht="15" customHeight="1" thickBot="1" x14ac:dyDescent="0.4">
      <c r="A19" s="44" t="s">
        <v>23</v>
      </c>
      <c r="B19" s="44"/>
      <c r="C19" s="44" t="str">
        <f t="shared" ref="C19:C23" si="5">$C$17&amp;" "&amp;D19</f>
        <v>Simplified PEF+enable/Disable Core Development</v>
      </c>
      <c r="D19" s="44" t="s">
        <v>459</v>
      </c>
      <c r="E19" s="44">
        <f t="shared" si="0"/>
        <v>5280</v>
      </c>
      <c r="F19" s="44">
        <f t="shared" si="1"/>
        <v>660</v>
      </c>
      <c r="G19" s="44">
        <f t="shared" si="2"/>
        <v>33</v>
      </c>
      <c r="H19" s="163">
        <v>1</v>
      </c>
      <c r="I19" s="44">
        <f t="shared" si="3"/>
        <v>285120</v>
      </c>
      <c r="J19" s="44"/>
      <c r="K19" s="44"/>
      <c r="L19" s="44"/>
      <c r="M19" s="44"/>
      <c r="N19" s="192" t="s">
        <v>17</v>
      </c>
      <c r="O19" s="192" t="s">
        <v>17</v>
      </c>
      <c r="P19" s="192" t="s">
        <v>17</v>
      </c>
      <c r="Q19" s="192" t="s">
        <v>17</v>
      </c>
      <c r="R19" s="192" t="s">
        <v>17</v>
      </c>
      <c r="S19" s="192" t="s">
        <v>17</v>
      </c>
      <c r="T19" s="192" t="s">
        <v>17</v>
      </c>
      <c r="U19" s="192" t="s">
        <v>17</v>
      </c>
      <c r="V19" s="192" t="s">
        <v>17</v>
      </c>
      <c r="W19" s="192" t="s">
        <v>17</v>
      </c>
      <c r="X19" s="192" t="s">
        <v>17</v>
      </c>
      <c r="Y19" s="192" t="s">
        <v>17</v>
      </c>
      <c r="Z19" s="192" t="s">
        <v>17</v>
      </c>
      <c r="AA19" s="192" t="s">
        <v>17</v>
      </c>
      <c r="AB19" s="192" t="s">
        <v>17</v>
      </c>
      <c r="AC19" s="192" t="s">
        <v>17</v>
      </c>
      <c r="AD19" s="192" t="s">
        <v>17</v>
      </c>
      <c r="AE19" s="192" t="s">
        <v>17</v>
      </c>
      <c r="AF19" s="192" t="s">
        <v>17</v>
      </c>
      <c r="AG19" s="192" t="s">
        <v>17</v>
      </c>
      <c r="AH19" s="192" t="s">
        <v>17</v>
      </c>
      <c r="AI19" s="192" t="s">
        <v>17</v>
      </c>
      <c r="AJ19" s="192" t="s">
        <v>17</v>
      </c>
      <c r="AK19" s="192" t="s">
        <v>17</v>
      </c>
      <c r="AL19" s="192" t="s">
        <v>17</v>
      </c>
      <c r="AM19" s="192" t="s">
        <v>17</v>
      </c>
      <c r="AN19" s="192" t="s">
        <v>17</v>
      </c>
      <c r="AO19" s="192" t="s">
        <v>17</v>
      </c>
      <c r="AP19" s="192" t="s">
        <v>17</v>
      </c>
      <c r="AQ19" s="192" t="s">
        <v>17</v>
      </c>
      <c r="AR19" s="192" t="s">
        <v>17</v>
      </c>
      <c r="AS19" s="192" t="s">
        <v>17</v>
      </c>
      <c r="AT19" s="192" t="s">
        <v>17</v>
      </c>
      <c r="AU19" s="192" t="s">
        <v>17</v>
      </c>
      <c r="AV19" s="44"/>
      <c r="AW19" s="44"/>
    </row>
    <row r="20" spans="1:49" ht="15" customHeight="1" x14ac:dyDescent="0.35">
      <c r="A20" s="44" t="s">
        <v>23</v>
      </c>
      <c r="B20" s="44"/>
      <c r="C20" s="44" t="str">
        <f t="shared" si="5"/>
        <v>Simplified PEF+enable/Disable HMI Development</v>
      </c>
      <c r="D20" s="44" t="s">
        <v>227</v>
      </c>
      <c r="E20" s="44">
        <f t="shared" si="0"/>
        <v>0</v>
      </c>
      <c r="F20" s="44">
        <f t="shared" si="1"/>
        <v>0</v>
      </c>
      <c r="G20" s="44">
        <f t="shared" si="2"/>
        <v>0</v>
      </c>
      <c r="H20" s="163">
        <v>1</v>
      </c>
      <c r="I20" s="44">
        <f t="shared" si="3"/>
        <v>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row>
    <row r="21" spans="1:49" ht="15" customHeight="1" x14ac:dyDescent="0.35">
      <c r="A21" s="44" t="s">
        <v>23</v>
      </c>
      <c r="B21" s="44"/>
      <c r="C21" s="44" t="str">
        <f t="shared" si="5"/>
        <v>Simplified PEF+enable/Disable DataPrep</v>
      </c>
      <c r="D21" s="44" t="s">
        <v>279</v>
      </c>
      <c r="E21" s="44">
        <f t="shared" si="0"/>
        <v>0</v>
      </c>
      <c r="F21" s="44">
        <f t="shared" si="1"/>
        <v>0</v>
      </c>
      <c r="G21" s="44">
        <f t="shared" si="2"/>
        <v>0</v>
      </c>
      <c r="H21" s="163">
        <v>1</v>
      </c>
      <c r="I21" s="44">
        <f t="shared" si="3"/>
        <v>0</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row>
    <row r="22" spans="1:49" ht="15" customHeight="1" x14ac:dyDescent="0.35">
      <c r="A22" s="44" t="s">
        <v>23</v>
      </c>
      <c r="B22" s="44"/>
      <c r="C22" s="44" t="str">
        <f t="shared" si="5"/>
        <v>Simplified PEF+enable/Disable V&amp;V</v>
      </c>
      <c r="D22" s="44" t="s">
        <v>278</v>
      </c>
      <c r="E22" s="44">
        <f t="shared" si="0"/>
        <v>0</v>
      </c>
      <c r="F22" s="44">
        <f t="shared" si="1"/>
        <v>0</v>
      </c>
      <c r="G22" s="44">
        <f t="shared" si="2"/>
        <v>0</v>
      </c>
      <c r="H22" s="163">
        <v>1</v>
      </c>
      <c r="I22" s="44">
        <f t="shared" si="3"/>
        <v>0</v>
      </c>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row>
    <row r="23" spans="1:49" ht="15" customHeight="1" x14ac:dyDescent="0.35">
      <c r="A23" s="44" t="s">
        <v>23</v>
      </c>
      <c r="B23" s="44"/>
      <c r="C23" s="44" t="str">
        <f t="shared" si="5"/>
        <v>Simplified PEF+enable/Disable Other</v>
      </c>
      <c r="D23" s="44" t="s">
        <v>280</v>
      </c>
      <c r="E23" s="44">
        <f t="shared" si="0"/>
        <v>0</v>
      </c>
      <c r="F23" s="44">
        <f t="shared" si="1"/>
        <v>0</v>
      </c>
      <c r="G23" s="44">
        <f t="shared" si="2"/>
        <v>0</v>
      </c>
      <c r="H23" s="163">
        <v>1</v>
      </c>
      <c r="I23" s="44">
        <f t="shared" si="3"/>
        <v>0</v>
      </c>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row>
    <row r="24" spans="1:49" ht="15" customHeight="1" thickBot="1" x14ac:dyDescent="0.4">
      <c r="A24" s="44" t="s">
        <v>23</v>
      </c>
      <c r="B24" s="44"/>
      <c r="C24" s="190" t="s">
        <v>388</v>
      </c>
      <c r="D24" s="44"/>
      <c r="E24" s="44">
        <f t="shared" si="0"/>
        <v>0</v>
      </c>
      <c r="F24" s="44">
        <f t="shared" si="1"/>
        <v>0</v>
      </c>
      <c r="G24" s="44">
        <f t="shared" si="2"/>
        <v>0</v>
      </c>
      <c r="H24" s="163">
        <v>1</v>
      </c>
      <c r="I24" s="44">
        <f t="shared" si="3"/>
        <v>0</v>
      </c>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row>
    <row r="25" spans="1:49" ht="15" customHeight="1" thickBot="1" x14ac:dyDescent="0.4">
      <c r="A25" s="44" t="s">
        <v>23</v>
      </c>
      <c r="B25" s="44"/>
      <c r="C25" s="44" t="str">
        <f>$C$24&amp;" "&amp;D25</f>
        <v>Territory Assignment Areas syncronization  System</v>
      </c>
      <c r="D25" s="44" t="s">
        <v>198</v>
      </c>
      <c r="E25" s="44">
        <f t="shared" si="0"/>
        <v>320</v>
      </c>
      <c r="F25" s="44">
        <f t="shared" si="1"/>
        <v>40</v>
      </c>
      <c r="G25" s="44">
        <f t="shared" si="2"/>
        <v>2</v>
      </c>
      <c r="H25" s="163">
        <v>1</v>
      </c>
      <c r="I25" s="44">
        <f t="shared" si="3"/>
        <v>17280</v>
      </c>
      <c r="J25" s="44"/>
      <c r="K25" s="44"/>
      <c r="L25" s="44"/>
      <c r="M25" s="193" t="s">
        <v>17</v>
      </c>
      <c r="N25" s="193" t="s">
        <v>17</v>
      </c>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row>
    <row r="26" spans="1:49" ht="15" customHeight="1" thickBot="1" x14ac:dyDescent="0.4">
      <c r="A26" s="44" t="s">
        <v>23</v>
      </c>
      <c r="B26" s="44"/>
      <c r="C26" s="44" t="str">
        <f t="shared" ref="C26:C30" si="6">$C$24&amp;" "&amp;D26</f>
        <v>Territory Assignment Areas syncronization  Core Development</v>
      </c>
      <c r="D26" s="44" t="s">
        <v>459</v>
      </c>
      <c r="E26" s="44">
        <f t="shared" si="0"/>
        <v>640</v>
      </c>
      <c r="F26" s="44">
        <f t="shared" si="1"/>
        <v>80</v>
      </c>
      <c r="G26" s="44">
        <f t="shared" si="2"/>
        <v>4</v>
      </c>
      <c r="H26" s="163">
        <v>1</v>
      </c>
      <c r="I26" s="44">
        <f t="shared" si="3"/>
        <v>34560</v>
      </c>
      <c r="J26" s="44"/>
      <c r="K26" s="44"/>
      <c r="L26" s="44"/>
      <c r="M26" s="44"/>
      <c r="N26" s="44"/>
      <c r="O26" s="44"/>
      <c r="P26" s="192" t="s">
        <v>17</v>
      </c>
      <c r="Q26" s="192" t="s">
        <v>17</v>
      </c>
      <c r="R26" s="192" t="s">
        <v>17</v>
      </c>
      <c r="S26" s="192" t="s">
        <v>17</v>
      </c>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row>
    <row r="27" spans="1:49" ht="15" customHeight="1" thickBot="1" x14ac:dyDescent="0.4">
      <c r="A27" s="44" t="s">
        <v>23</v>
      </c>
      <c r="B27" s="44"/>
      <c r="C27" s="44" t="str">
        <f t="shared" si="6"/>
        <v>Territory Assignment Areas syncronization  HMI Development</v>
      </c>
      <c r="D27" s="44" t="s">
        <v>227</v>
      </c>
      <c r="E27" s="44">
        <f t="shared" si="0"/>
        <v>52800</v>
      </c>
      <c r="F27" s="44">
        <f t="shared" si="1"/>
        <v>6600</v>
      </c>
      <c r="G27" s="44">
        <f t="shared" si="2"/>
        <v>330</v>
      </c>
      <c r="H27" s="163">
        <v>10</v>
      </c>
      <c r="I27" s="44">
        <f t="shared" si="3"/>
        <v>2851200</v>
      </c>
      <c r="J27" s="44"/>
      <c r="K27" s="44"/>
      <c r="L27" s="44"/>
      <c r="M27" s="44"/>
      <c r="N27" s="206" t="s">
        <v>17</v>
      </c>
      <c r="O27" s="206" t="s">
        <v>17</v>
      </c>
      <c r="P27" s="206" t="s">
        <v>17</v>
      </c>
      <c r="Q27" s="206" t="s">
        <v>17</v>
      </c>
      <c r="R27" s="206" t="s">
        <v>17</v>
      </c>
      <c r="S27" s="206" t="s">
        <v>17</v>
      </c>
      <c r="T27" s="206" t="s">
        <v>17</v>
      </c>
      <c r="U27" s="206" t="s">
        <v>17</v>
      </c>
      <c r="V27" s="206" t="s">
        <v>17</v>
      </c>
      <c r="W27" s="206" t="s">
        <v>17</v>
      </c>
      <c r="X27" s="206" t="s">
        <v>17</v>
      </c>
      <c r="Y27" s="206" t="s">
        <v>17</v>
      </c>
      <c r="Z27" s="206" t="s">
        <v>17</v>
      </c>
      <c r="AA27" s="206" t="s">
        <v>17</v>
      </c>
      <c r="AB27" s="206" t="s">
        <v>17</v>
      </c>
      <c r="AC27" s="206" t="s">
        <v>17</v>
      </c>
      <c r="AD27" s="206" t="s">
        <v>17</v>
      </c>
      <c r="AE27" s="206" t="s">
        <v>17</v>
      </c>
      <c r="AF27" s="206" t="s">
        <v>17</v>
      </c>
      <c r="AG27" s="206" t="s">
        <v>17</v>
      </c>
      <c r="AH27" s="206" t="s">
        <v>17</v>
      </c>
      <c r="AI27" s="206" t="s">
        <v>17</v>
      </c>
      <c r="AJ27" s="206" t="s">
        <v>17</v>
      </c>
      <c r="AK27" s="206" t="s">
        <v>17</v>
      </c>
      <c r="AL27" s="206" t="s">
        <v>17</v>
      </c>
      <c r="AM27" s="206" t="s">
        <v>17</v>
      </c>
      <c r="AN27" s="206" t="s">
        <v>17</v>
      </c>
      <c r="AO27" s="206" t="s">
        <v>17</v>
      </c>
      <c r="AP27" s="206" t="s">
        <v>17</v>
      </c>
      <c r="AQ27" s="206" t="s">
        <v>17</v>
      </c>
      <c r="AR27" s="206" t="s">
        <v>17</v>
      </c>
      <c r="AS27" s="206" t="s">
        <v>17</v>
      </c>
      <c r="AT27" s="206" t="s">
        <v>17</v>
      </c>
      <c r="AU27" s="206" t="s">
        <v>17</v>
      </c>
      <c r="AV27" s="44"/>
      <c r="AW27" s="44"/>
    </row>
    <row r="28" spans="1:49" ht="15" customHeight="1" x14ac:dyDescent="0.35">
      <c r="A28" s="44" t="s">
        <v>23</v>
      </c>
      <c r="B28" s="44"/>
      <c r="C28" s="44" t="str">
        <f t="shared" si="6"/>
        <v>Territory Assignment Areas syncronization  DataPrep</v>
      </c>
      <c r="D28" s="44" t="s">
        <v>279</v>
      </c>
      <c r="E28" s="44">
        <f t="shared" si="0"/>
        <v>0</v>
      </c>
      <c r="F28" s="44">
        <f t="shared" si="1"/>
        <v>0</v>
      </c>
      <c r="G28" s="44">
        <f t="shared" si="2"/>
        <v>0</v>
      </c>
      <c r="H28" s="163">
        <v>1</v>
      </c>
      <c r="I28" s="44">
        <f t="shared" si="3"/>
        <v>0</v>
      </c>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row>
    <row r="29" spans="1:49" ht="15" customHeight="1" x14ac:dyDescent="0.35">
      <c r="A29" s="44" t="s">
        <v>23</v>
      </c>
      <c r="B29" s="44"/>
      <c r="C29" s="44" t="str">
        <f t="shared" si="6"/>
        <v>Territory Assignment Areas syncronization  V&amp;V</v>
      </c>
      <c r="D29" s="44" t="s">
        <v>278</v>
      </c>
      <c r="E29" s="44">
        <f t="shared" si="0"/>
        <v>0</v>
      </c>
      <c r="F29" s="44">
        <f t="shared" si="1"/>
        <v>0</v>
      </c>
      <c r="G29" s="44">
        <f t="shared" si="2"/>
        <v>0</v>
      </c>
      <c r="H29" s="163">
        <v>1</v>
      </c>
      <c r="I29" s="44">
        <f t="shared" si="3"/>
        <v>0</v>
      </c>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row>
    <row r="30" spans="1:49" ht="15" customHeight="1" x14ac:dyDescent="0.35">
      <c r="A30" s="44" t="s">
        <v>23</v>
      </c>
      <c r="B30" s="44"/>
      <c r="C30" s="44" t="str">
        <f t="shared" si="6"/>
        <v>Territory Assignment Areas syncronization  Other</v>
      </c>
      <c r="D30" s="44" t="s">
        <v>280</v>
      </c>
      <c r="E30" s="44">
        <f t="shared" si="0"/>
        <v>0</v>
      </c>
      <c r="F30" s="44">
        <f t="shared" si="1"/>
        <v>0</v>
      </c>
      <c r="G30" s="44">
        <f t="shared" si="2"/>
        <v>0</v>
      </c>
      <c r="H30" s="163">
        <v>1</v>
      </c>
      <c r="I30" s="44">
        <f t="shared" si="3"/>
        <v>0</v>
      </c>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row>
    <row r="31" spans="1:49" ht="15" customHeight="1" thickBot="1" x14ac:dyDescent="0.4">
      <c r="A31" s="44" t="s">
        <v>23</v>
      </c>
      <c r="B31" s="44"/>
      <c r="C31" s="190" t="s">
        <v>44</v>
      </c>
      <c r="D31" s="44"/>
      <c r="E31" s="44">
        <f t="shared" si="0"/>
        <v>0</v>
      </c>
      <c r="F31" s="44">
        <f t="shared" si="1"/>
        <v>0</v>
      </c>
      <c r="G31" s="44">
        <f t="shared" si="2"/>
        <v>0</v>
      </c>
      <c r="H31" s="163">
        <v>1</v>
      </c>
      <c r="I31" s="44">
        <f t="shared" si="3"/>
        <v>0</v>
      </c>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row>
    <row r="32" spans="1:49" ht="15" customHeight="1" thickBot="1" x14ac:dyDescent="0.4">
      <c r="A32" s="44" t="s">
        <v>23</v>
      </c>
      <c r="B32" s="44"/>
      <c r="C32" s="44" t="str">
        <f>$C$31&amp;" "&amp;D32</f>
        <v>Digital possession and safety notes System</v>
      </c>
      <c r="D32" s="44" t="s">
        <v>198</v>
      </c>
      <c r="E32" s="44">
        <f t="shared" si="0"/>
        <v>320</v>
      </c>
      <c r="F32" s="44">
        <f t="shared" si="1"/>
        <v>40</v>
      </c>
      <c r="G32" s="44">
        <f t="shared" si="2"/>
        <v>2</v>
      </c>
      <c r="H32" s="163">
        <v>1</v>
      </c>
      <c r="I32" s="44">
        <f t="shared" si="3"/>
        <v>17280</v>
      </c>
      <c r="J32" s="44"/>
      <c r="K32" s="44"/>
      <c r="L32" s="44"/>
      <c r="M32" s="44"/>
      <c r="N32" s="193" t="s">
        <v>17</v>
      </c>
      <c r="O32" s="193" t="s">
        <v>17</v>
      </c>
      <c r="P32" s="44"/>
      <c r="Q32" s="44"/>
      <c r="R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row>
    <row r="33" spans="1:49" ht="15" customHeight="1" thickBot="1" x14ac:dyDescent="0.4">
      <c r="A33" s="44" t="s">
        <v>23</v>
      </c>
      <c r="B33" s="44"/>
      <c r="C33" s="44" t="str">
        <f t="shared" ref="C33:C37" si="7">$C$31&amp;" "&amp;D33</f>
        <v>Digital possession and safety notes Core Development</v>
      </c>
      <c r="D33" s="44" t="s">
        <v>459</v>
      </c>
      <c r="E33" s="44">
        <f t="shared" si="0"/>
        <v>640</v>
      </c>
      <c r="F33" s="44">
        <f t="shared" si="1"/>
        <v>80</v>
      </c>
      <c r="G33" s="44">
        <f t="shared" si="2"/>
        <v>4</v>
      </c>
      <c r="H33" s="163">
        <v>1</v>
      </c>
      <c r="I33" s="44">
        <f t="shared" si="3"/>
        <v>34560</v>
      </c>
      <c r="J33" s="44"/>
      <c r="K33" s="44"/>
      <c r="L33" s="44"/>
      <c r="M33" s="44"/>
      <c r="N33" s="44"/>
      <c r="O33" s="44"/>
      <c r="P33" s="44"/>
      <c r="Q33" s="44"/>
      <c r="R33" s="44"/>
      <c r="S33" s="44"/>
      <c r="T33" s="192" t="s">
        <v>17</v>
      </c>
      <c r="U33" s="192" t="s">
        <v>17</v>
      </c>
      <c r="V33" s="192" t="s">
        <v>17</v>
      </c>
      <c r="W33" s="192" t="s">
        <v>17</v>
      </c>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row>
    <row r="34" spans="1:49" ht="15" customHeight="1" x14ac:dyDescent="0.35">
      <c r="A34" s="44" t="s">
        <v>23</v>
      </c>
      <c r="B34" s="44"/>
      <c r="C34" s="44" t="str">
        <f t="shared" si="7"/>
        <v>Digital possession and safety notes HMI Development</v>
      </c>
      <c r="D34" s="44" t="s">
        <v>227</v>
      </c>
      <c r="E34" s="44">
        <f t="shared" si="0"/>
        <v>0</v>
      </c>
      <c r="F34" s="44">
        <f t="shared" si="1"/>
        <v>0</v>
      </c>
      <c r="G34" s="44">
        <f t="shared" si="2"/>
        <v>0</v>
      </c>
      <c r="H34" s="163">
        <v>1</v>
      </c>
      <c r="I34" s="44">
        <f t="shared" si="3"/>
        <v>0</v>
      </c>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row>
    <row r="35" spans="1:49" ht="15" customHeight="1" x14ac:dyDescent="0.35">
      <c r="A35" s="44" t="s">
        <v>23</v>
      </c>
      <c r="B35" s="44"/>
      <c r="C35" s="44" t="str">
        <f t="shared" si="7"/>
        <v>Digital possession and safety notes DataPrep</v>
      </c>
      <c r="D35" s="44" t="s">
        <v>279</v>
      </c>
      <c r="E35" s="44">
        <f t="shared" ref="E35:E66" si="8">G35*160</f>
        <v>0</v>
      </c>
      <c r="F35" s="44">
        <f t="shared" ref="F35:F66" si="9">E35/8</f>
        <v>0</v>
      </c>
      <c r="G35" s="44">
        <f t="shared" ref="G35:G66" si="10">COUNTIF(K35:AT35, "-")*H35</f>
        <v>0</v>
      </c>
      <c r="H35" s="163">
        <v>1</v>
      </c>
      <c r="I35" s="44">
        <f t="shared" ref="I35:I66" si="11">E35*54</f>
        <v>0</v>
      </c>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row>
    <row r="36" spans="1:49" ht="15" customHeight="1" x14ac:dyDescent="0.35">
      <c r="A36" s="44" t="s">
        <v>23</v>
      </c>
      <c r="B36" s="44"/>
      <c r="C36" s="44" t="str">
        <f t="shared" si="7"/>
        <v>Digital possession and safety notes V&amp;V</v>
      </c>
      <c r="D36" s="44" t="s">
        <v>278</v>
      </c>
      <c r="E36" s="44">
        <f t="shared" si="8"/>
        <v>0</v>
      </c>
      <c r="F36" s="44">
        <f t="shared" si="9"/>
        <v>0</v>
      </c>
      <c r="G36" s="44">
        <f t="shared" si="10"/>
        <v>0</v>
      </c>
      <c r="H36" s="163">
        <v>1</v>
      </c>
      <c r="I36" s="44">
        <f t="shared" si="11"/>
        <v>0</v>
      </c>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row>
    <row r="37" spans="1:49" ht="15" customHeight="1" x14ac:dyDescent="0.35">
      <c r="A37" s="44" t="s">
        <v>23</v>
      </c>
      <c r="B37" s="44"/>
      <c r="C37" s="44" t="str">
        <f t="shared" si="7"/>
        <v>Digital possession and safety notes Other</v>
      </c>
      <c r="D37" s="44" t="s">
        <v>280</v>
      </c>
      <c r="E37" s="44">
        <f t="shared" si="8"/>
        <v>0</v>
      </c>
      <c r="F37" s="44">
        <f t="shared" si="9"/>
        <v>0</v>
      </c>
      <c r="G37" s="44">
        <f t="shared" si="10"/>
        <v>0</v>
      </c>
      <c r="H37" s="163">
        <v>1</v>
      </c>
      <c r="I37" s="44">
        <f t="shared" si="11"/>
        <v>0</v>
      </c>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row>
    <row r="38" spans="1:49" ht="15" customHeight="1" x14ac:dyDescent="0.35">
      <c r="A38" s="44" t="s">
        <v>23</v>
      </c>
      <c r="B38" s="44"/>
      <c r="C38" s="190" t="s">
        <v>47</v>
      </c>
      <c r="D38" s="44"/>
      <c r="E38" s="44">
        <f t="shared" si="8"/>
        <v>0</v>
      </c>
      <c r="F38" s="44">
        <f t="shared" si="9"/>
        <v>0</v>
      </c>
      <c r="G38" s="44">
        <f t="shared" si="10"/>
        <v>0</v>
      </c>
      <c r="H38" s="163">
        <v>1</v>
      </c>
      <c r="I38" s="44">
        <f t="shared" si="11"/>
        <v>0</v>
      </c>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row>
    <row r="39" spans="1:49" ht="15" customHeight="1" thickBot="1" x14ac:dyDescent="0.4">
      <c r="A39" s="44" t="s">
        <v>23</v>
      </c>
      <c r="B39" s="44"/>
      <c r="C39" s="44" t="str">
        <f>$C$38&amp;" "&amp;D39</f>
        <v>Extended PEF System</v>
      </c>
      <c r="D39" s="44" t="s">
        <v>198</v>
      </c>
      <c r="E39" s="44">
        <f t="shared" si="8"/>
        <v>0</v>
      </c>
      <c r="F39" s="44">
        <f t="shared" si="9"/>
        <v>0</v>
      </c>
      <c r="G39" s="44">
        <f t="shared" si="10"/>
        <v>0</v>
      </c>
      <c r="H39" s="163">
        <v>1</v>
      </c>
      <c r="I39" s="44">
        <f t="shared" si="11"/>
        <v>0</v>
      </c>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row>
    <row r="40" spans="1:49" ht="15" customHeight="1" thickBot="1" x14ac:dyDescent="0.4">
      <c r="A40" s="44" t="s">
        <v>23</v>
      </c>
      <c r="B40" s="44"/>
      <c r="C40" s="44" t="str">
        <f t="shared" ref="C40:C44" si="12">$C$38&amp;" "&amp;D40</f>
        <v>Extended PEF Core Development</v>
      </c>
      <c r="D40" s="44" t="s">
        <v>459</v>
      </c>
      <c r="E40" s="44">
        <f t="shared" si="8"/>
        <v>640</v>
      </c>
      <c r="F40" s="44">
        <f t="shared" si="9"/>
        <v>80</v>
      </c>
      <c r="G40" s="44">
        <f t="shared" si="10"/>
        <v>4</v>
      </c>
      <c r="H40" s="163">
        <v>1</v>
      </c>
      <c r="I40" s="44">
        <f t="shared" si="11"/>
        <v>34560</v>
      </c>
      <c r="J40" s="44"/>
      <c r="K40" s="44"/>
      <c r="L40" s="44"/>
      <c r="M40" s="44"/>
      <c r="N40" s="44"/>
      <c r="O40" s="44"/>
      <c r="P40" s="44"/>
      <c r="Q40" s="44"/>
      <c r="R40" s="44"/>
      <c r="S40" s="44"/>
      <c r="T40" s="44"/>
      <c r="U40" s="44"/>
      <c r="V40" s="192" t="s">
        <v>17</v>
      </c>
      <c r="W40" s="192" t="s">
        <v>17</v>
      </c>
      <c r="X40" s="192" t="s">
        <v>17</v>
      </c>
      <c r="Y40" s="192" t="s">
        <v>17</v>
      </c>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row>
    <row r="41" spans="1:49" ht="15" customHeight="1" x14ac:dyDescent="0.35">
      <c r="A41" s="44" t="s">
        <v>23</v>
      </c>
      <c r="B41" s="44"/>
      <c r="C41" s="44" t="str">
        <f t="shared" si="12"/>
        <v>Extended PEF HMI Development</v>
      </c>
      <c r="D41" s="44" t="s">
        <v>227</v>
      </c>
      <c r="E41" s="44">
        <f t="shared" si="8"/>
        <v>0</v>
      </c>
      <c r="F41" s="44">
        <f t="shared" si="9"/>
        <v>0</v>
      </c>
      <c r="G41" s="44">
        <f t="shared" si="10"/>
        <v>0</v>
      </c>
      <c r="H41" s="163">
        <v>1</v>
      </c>
      <c r="I41" s="44">
        <f t="shared" si="11"/>
        <v>0</v>
      </c>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row>
    <row r="42" spans="1:49" ht="15" customHeight="1" x14ac:dyDescent="0.35">
      <c r="A42" s="44" t="s">
        <v>23</v>
      </c>
      <c r="B42" s="44"/>
      <c r="C42" s="44" t="str">
        <f t="shared" si="12"/>
        <v>Extended PEF DataPrep</v>
      </c>
      <c r="D42" s="44" t="s">
        <v>279</v>
      </c>
      <c r="E42" s="44">
        <f t="shared" si="8"/>
        <v>0</v>
      </c>
      <c r="F42" s="44">
        <f t="shared" si="9"/>
        <v>0</v>
      </c>
      <c r="G42" s="44">
        <f t="shared" si="10"/>
        <v>0</v>
      </c>
      <c r="H42" s="163">
        <v>1</v>
      </c>
      <c r="I42" s="44">
        <f t="shared" si="11"/>
        <v>0</v>
      </c>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row>
    <row r="43" spans="1:49" ht="15" customHeight="1" x14ac:dyDescent="0.35">
      <c r="A43" s="44" t="s">
        <v>23</v>
      </c>
      <c r="B43" s="44"/>
      <c r="C43" s="44" t="str">
        <f t="shared" si="12"/>
        <v>Extended PEF V&amp;V</v>
      </c>
      <c r="D43" s="44" t="s">
        <v>278</v>
      </c>
      <c r="E43" s="44">
        <f t="shared" si="8"/>
        <v>0</v>
      </c>
      <c r="F43" s="44">
        <f t="shared" si="9"/>
        <v>0</v>
      </c>
      <c r="G43" s="44">
        <f t="shared" si="10"/>
        <v>0</v>
      </c>
      <c r="H43" s="163">
        <v>1</v>
      </c>
      <c r="I43" s="44">
        <f t="shared" si="11"/>
        <v>0</v>
      </c>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row>
    <row r="44" spans="1:49" ht="15" customHeight="1" x14ac:dyDescent="0.35">
      <c r="A44" s="44" t="s">
        <v>23</v>
      </c>
      <c r="B44" s="44"/>
      <c r="C44" s="44" t="str">
        <f t="shared" si="12"/>
        <v>Extended PEF Other</v>
      </c>
      <c r="D44" s="44" t="s">
        <v>280</v>
      </c>
      <c r="E44" s="44">
        <f t="shared" si="8"/>
        <v>0</v>
      </c>
      <c r="F44" s="44">
        <f t="shared" si="9"/>
        <v>0</v>
      </c>
      <c r="G44" s="44">
        <f t="shared" si="10"/>
        <v>0</v>
      </c>
      <c r="H44" s="163">
        <v>1</v>
      </c>
      <c r="I44" s="44">
        <f t="shared" si="11"/>
        <v>0</v>
      </c>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row>
    <row r="45" spans="1:49" ht="15" customHeight="1" x14ac:dyDescent="0.35">
      <c r="A45" s="44" t="s">
        <v>23</v>
      </c>
      <c r="B45" s="44"/>
      <c r="C45" s="190" t="s">
        <v>49</v>
      </c>
      <c r="D45" s="44"/>
      <c r="E45" s="44">
        <f t="shared" si="8"/>
        <v>0</v>
      </c>
      <c r="F45" s="44">
        <f t="shared" si="9"/>
        <v>0</v>
      </c>
      <c r="G45" s="44">
        <f t="shared" si="10"/>
        <v>0</v>
      </c>
      <c r="H45" s="163">
        <v>1</v>
      </c>
      <c r="I45" s="44">
        <f t="shared" si="11"/>
        <v>0</v>
      </c>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row>
    <row r="46" spans="1:49" ht="15" customHeight="1" x14ac:dyDescent="0.35">
      <c r="A46" s="44" t="s">
        <v>23</v>
      </c>
      <c r="B46" s="44"/>
      <c r="C46" s="44" t="str">
        <f>$C$45&amp;" "&amp;D46</f>
        <v>Conflict Detection System</v>
      </c>
      <c r="D46" s="44" t="s">
        <v>198</v>
      </c>
      <c r="E46" s="44">
        <f t="shared" si="8"/>
        <v>0</v>
      </c>
      <c r="F46" s="44">
        <f t="shared" si="9"/>
        <v>0</v>
      </c>
      <c r="G46" s="44">
        <f t="shared" si="10"/>
        <v>0</v>
      </c>
      <c r="H46" s="163">
        <v>1</v>
      </c>
      <c r="I46" s="44">
        <f t="shared" si="11"/>
        <v>0</v>
      </c>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row>
    <row r="47" spans="1:49" ht="15" customHeight="1" x14ac:dyDescent="0.35">
      <c r="A47" s="44" t="s">
        <v>23</v>
      </c>
      <c r="B47" s="44"/>
      <c r="C47" s="44" t="str">
        <f t="shared" ref="C47:C51" si="13">$C$45&amp;" "&amp;D47</f>
        <v>Conflict Detection Core Development</v>
      </c>
      <c r="D47" s="44" t="s">
        <v>459</v>
      </c>
      <c r="E47" s="44">
        <f t="shared" si="8"/>
        <v>0</v>
      </c>
      <c r="F47" s="44">
        <f t="shared" si="9"/>
        <v>0</v>
      </c>
      <c r="G47" s="44">
        <f t="shared" si="10"/>
        <v>0</v>
      </c>
      <c r="H47" s="163">
        <v>1</v>
      </c>
      <c r="I47" s="44">
        <f t="shared" si="11"/>
        <v>0</v>
      </c>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row>
    <row r="48" spans="1:49" ht="15" customHeight="1" x14ac:dyDescent="0.35">
      <c r="A48" s="44" t="s">
        <v>23</v>
      </c>
      <c r="B48" s="44"/>
      <c r="C48" s="44" t="str">
        <f t="shared" si="13"/>
        <v>Conflict Detection HMI Development</v>
      </c>
      <c r="D48" s="44" t="s">
        <v>227</v>
      </c>
      <c r="E48" s="44">
        <f t="shared" si="8"/>
        <v>0</v>
      </c>
      <c r="F48" s="44">
        <f t="shared" si="9"/>
        <v>0</v>
      </c>
      <c r="G48" s="44">
        <f t="shared" si="10"/>
        <v>0</v>
      </c>
      <c r="H48" s="163">
        <v>1</v>
      </c>
      <c r="I48" s="44">
        <f t="shared" si="11"/>
        <v>0</v>
      </c>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row>
    <row r="49" spans="1:49" ht="15" customHeight="1" x14ac:dyDescent="0.35">
      <c r="A49" s="44" t="s">
        <v>23</v>
      </c>
      <c r="B49" s="44"/>
      <c r="C49" s="44" t="str">
        <f t="shared" si="13"/>
        <v>Conflict Detection DataPrep</v>
      </c>
      <c r="D49" s="44" t="s">
        <v>279</v>
      </c>
      <c r="E49" s="44">
        <f t="shared" si="8"/>
        <v>0</v>
      </c>
      <c r="F49" s="44">
        <f t="shared" si="9"/>
        <v>0</v>
      </c>
      <c r="G49" s="44">
        <f t="shared" si="10"/>
        <v>0</v>
      </c>
      <c r="H49" s="163">
        <v>1</v>
      </c>
      <c r="I49" s="44">
        <f t="shared" si="11"/>
        <v>0</v>
      </c>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row>
    <row r="50" spans="1:49" ht="15" customHeight="1" x14ac:dyDescent="0.35">
      <c r="A50" s="44" t="s">
        <v>23</v>
      </c>
      <c r="B50" s="44"/>
      <c r="C50" s="44" t="str">
        <f t="shared" si="13"/>
        <v>Conflict Detection V&amp;V</v>
      </c>
      <c r="D50" s="44" t="s">
        <v>278</v>
      </c>
      <c r="E50" s="44">
        <f t="shared" si="8"/>
        <v>0</v>
      </c>
      <c r="F50" s="44">
        <f t="shared" si="9"/>
        <v>0</v>
      </c>
      <c r="G50" s="44">
        <f t="shared" si="10"/>
        <v>0</v>
      </c>
      <c r="H50" s="163">
        <v>1</v>
      </c>
      <c r="I50" s="44">
        <f t="shared" si="11"/>
        <v>0</v>
      </c>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row>
    <row r="51" spans="1:49" ht="15" customHeight="1" x14ac:dyDescent="0.35">
      <c r="A51" s="44" t="s">
        <v>23</v>
      </c>
      <c r="B51" s="44"/>
      <c r="C51" s="44" t="str">
        <f t="shared" si="13"/>
        <v>Conflict Detection Other</v>
      </c>
      <c r="D51" s="44" t="s">
        <v>280</v>
      </c>
      <c r="E51" s="44">
        <f t="shared" si="8"/>
        <v>0</v>
      </c>
      <c r="F51" s="44">
        <f t="shared" si="9"/>
        <v>0</v>
      </c>
      <c r="G51" s="44">
        <f t="shared" si="10"/>
        <v>0</v>
      </c>
      <c r="H51" s="163">
        <v>1</v>
      </c>
      <c r="I51" s="44">
        <f t="shared" si="11"/>
        <v>0</v>
      </c>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row>
    <row r="52" spans="1:49" ht="15" customHeight="1" x14ac:dyDescent="0.35">
      <c r="A52" s="44" t="s">
        <v>12</v>
      </c>
      <c r="B52" s="44"/>
      <c r="C52" s="190" t="s">
        <v>308</v>
      </c>
      <c r="D52" s="44"/>
      <c r="E52" s="44">
        <f t="shared" si="8"/>
        <v>0</v>
      </c>
      <c r="F52" s="44">
        <f t="shared" si="9"/>
        <v>0</v>
      </c>
      <c r="G52" s="44">
        <f t="shared" si="10"/>
        <v>0</v>
      </c>
      <c r="H52" s="163">
        <v>1</v>
      </c>
      <c r="I52" s="44">
        <f t="shared" si="11"/>
        <v>0</v>
      </c>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row>
    <row r="53" spans="1:49" ht="15" customHeight="1" x14ac:dyDescent="0.35">
      <c r="A53" s="44" t="s">
        <v>12</v>
      </c>
      <c r="B53" s="44"/>
      <c r="C53" s="44" t="str">
        <f>$C$52&amp;" "&amp;D53</f>
        <v>light client ICONIS - EBICOS Integration  System</v>
      </c>
      <c r="D53" s="44" t="s">
        <v>198</v>
      </c>
      <c r="E53" s="44">
        <f t="shared" si="8"/>
        <v>0</v>
      </c>
      <c r="F53" s="44">
        <f t="shared" si="9"/>
        <v>0</v>
      </c>
      <c r="G53" s="44">
        <f t="shared" si="10"/>
        <v>0</v>
      </c>
      <c r="H53" s="163">
        <v>1</v>
      </c>
      <c r="I53" s="44">
        <f t="shared" si="11"/>
        <v>0</v>
      </c>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row>
    <row r="54" spans="1:49" ht="15" customHeight="1" x14ac:dyDescent="0.35">
      <c r="A54" s="44" t="s">
        <v>12</v>
      </c>
      <c r="B54" s="44"/>
      <c r="C54" s="44" t="str">
        <f t="shared" ref="C54:C58" si="14">$C$52&amp;" "&amp;D54</f>
        <v>light client ICONIS - EBICOS Integration  Core Development</v>
      </c>
      <c r="D54" s="44" t="s">
        <v>459</v>
      </c>
      <c r="E54" s="44">
        <f t="shared" si="8"/>
        <v>0</v>
      </c>
      <c r="F54" s="44">
        <f t="shared" si="9"/>
        <v>0</v>
      </c>
      <c r="G54" s="44">
        <f t="shared" si="10"/>
        <v>0</v>
      </c>
      <c r="H54" s="163">
        <v>1</v>
      </c>
      <c r="I54" s="44">
        <f t="shared" si="11"/>
        <v>0</v>
      </c>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row>
    <row r="55" spans="1:49" ht="15" customHeight="1" x14ac:dyDescent="0.35">
      <c r="A55" s="44" t="s">
        <v>12</v>
      </c>
      <c r="B55" s="44"/>
      <c r="C55" s="44" t="str">
        <f t="shared" si="14"/>
        <v>light client ICONIS - EBICOS Integration  HMI Development</v>
      </c>
      <c r="D55" s="44" t="s">
        <v>227</v>
      </c>
      <c r="E55" s="44">
        <f t="shared" si="8"/>
        <v>0</v>
      </c>
      <c r="F55" s="44">
        <f t="shared" si="9"/>
        <v>0</v>
      </c>
      <c r="G55" s="44">
        <f t="shared" si="10"/>
        <v>0</v>
      </c>
      <c r="H55" s="163">
        <v>1</v>
      </c>
      <c r="I55" s="44">
        <f t="shared" si="11"/>
        <v>0</v>
      </c>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row>
    <row r="56" spans="1:49" ht="15" customHeight="1" x14ac:dyDescent="0.35">
      <c r="A56" s="44" t="s">
        <v>12</v>
      </c>
      <c r="B56" s="44"/>
      <c r="C56" s="44" t="str">
        <f t="shared" si="14"/>
        <v>light client ICONIS - EBICOS Integration  DataPrep</v>
      </c>
      <c r="D56" s="44" t="s">
        <v>279</v>
      </c>
      <c r="E56" s="44">
        <f t="shared" si="8"/>
        <v>0</v>
      </c>
      <c r="F56" s="44">
        <f t="shared" si="9"/>
        <v>0</v>
      </c>
      <c r="G56" s="44">
        <f t="shared" si="10"/>
        <v>0</v>
      </c>
      <c r="H56" s="163">
        <v>1</v>
      </c>
      <c r="I56" s="44">
        <f t="shared" si="11"/>
        <v>0</v>
      </c>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row>
    <row r="57" spans="1:49" ht="15" customHeight="1" x14ac:dyDescent="0.35">
      <c r="A57" s="44" t="s">
        <v>12</v>
      </c>
      <c r="B57" s="44"/>
      <c r="C57" s="44" t="str">
        <f t="shared" si="14"/>
        <v>light client ICONIS - EBICOS Integration  V&amp;V</v>
      </c>
      <c r="D57" s="44" t="s">
        <v>278</v>
      </c>
      <c r="E57" s="44">
        <f t="shared" si="8"/>
        <v>0</v>
      </c>
      <c r="F57" s="44">
        <f t="shared" si="9"/>
        <v>0</v>
      </c>
      <c r="G57" s="44">
        <f t="shared" si="10"/>
        <v>0</v>
      </c>
      <c r="H57" s="163">
        <v>1</v>
      </c>
      <c r="I57" s="44">
        <f t="shared" si="11"/>
        <v>0</v>
      </c>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row>
    <row r="58" spans="1:49" ht="15" customHeight="1" x14ac:dyDescent="0.35">
      <c r="A58" s="44" t="s">
        <v>12</v>
      </c>
      <c r="B58" s="44"/>
      <c r="C58" s="44" t="str">
        <f t="shared" si="14"/>
        <v>light client ICONIS - EBICOS Integration  Other</v>
      </c>
      <c r="D58" s="44" t="s">
        <v>280</v>
      </c>
      <c r="E58" s="44">
        <f t="shared" si="8"/>
        <v>0</v>
      </c>
      <c r="F58" s="44">
        <f t="shared" si="9"/>
        <v>0</v>
      </c>
      <c r="G58" s="44">
        <f t="shared" si="10"/>
        <v>0</v>
      </c>
      <c r="H58" s="163">
        <v>1</v>
      </c>
      <c r="I58" s="44">
        <f t="shared" si="11"/>
        <v>0</v>
      </c>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row>
    <row r="59" spans="1:49" ht="15" customHeight="1" x14ac:dyDescent="0.35">
      <c r="A59" s="44" t="s">
        <v>12</v>
      </c>
      <c r="B59" s="44"/>
      <c r="C59" s="190" t="s">
        <v>295</v>
      </c>
      <c r="D59" s="44"/>
      <c r="E59" s="44">
        <f t="shared" si="8"/>
        <v>0</v>
      </c>
      <c r="F59" s="44">
        <f t="shared" si="9"/>
        <v>0</v>
      </c>
      <c r="G59" s="44">
        <f t="shared" si="10"/>
        <v>0</v>
      </c>
      <c r="H59" s="163">
        <v>1</v>
      </c>
      <c r="I59" s="44">
        <f t="shared" si="11"/>
        <v>0</v>
      </c>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row>
    <row r="60" spans="1:49" ht="15" customHeight="1" x14ac:dyDescent="0.35">
      <c r="A60" s="44" t="s">
        <v>12</v>
      </c>
      <c r="B60" s="44"/>
      <c r="C60" s="44" t="str">
        <f>$C$59&amp;" "&amp;D60</f>
        <v xml:space="preserve">
TSR indication integration (Digital possession and safety notes)  System</v>
      </c>
      <c r="D60" s="44" t="s">
        <v>198</v>
      </c>
      <c r="E60" s="44">
        <f t="shared" si="8"/>
        <v>0</v>
      </c>
      <c r="F60" s="44">
        <f t="shared" si="9"/>
        <v>0</v>
      </c>
      <c r="G60" s="44">
        <f t="shared" si="10"/>
        <v>0</v>
      </c>
      <c r="H60" s="163">
        <v>1</v>
      </c>
      <c r="I60" s="44">
        <f t="shared" si="11"/>
        <v>0</v>
      </c>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row>
    <row r="61" spans="1:49" ht="15" customHeight="1" x14ac:dyDescent="0.35">
      <c r="A61" s="44" t="s">
        <v>12</v>
      </c>
      <c r="B61" s="44"/>
      <c r="C61" s="44" t="str">
        <f t="shared" ref="C61:C65" si="15">$C$59&amp;" "&amp;D61</f>
        <v xml:space="preserve">
TSR indication integration (Digital possession and safety notes)  Core Development</v>
      </c>
      <c r="D61" s="44" t="s">
        <v>459</v>
      </c>
      <c r="E61" s="44">
        <f t="shared" si="8"/>
        <v>0</v>
      </c>
      <c r="F61" s="44">
        <f t="shared" si="9"/>
        <v>0</v>
      </c>
      <c r="G61" s="44">
        <f t="shared" si="10"/>
        <v>0</v>
      </c>
      <c r="H61" s="163">
        <v>1</v>
      </c>
      <c r="I61" s="44">
        <f t="shared" si="11"/>
        <v>0</v>
      </c>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row>
    <row r="62" spans="1:49" ht="15" customHeight="1" x14ac:dyDescent="0.35">
      <c r="A62" s="44" t="s">
        <v>12</v>
      </c>
      <c r="B62" s="44"/>
      <c r="C62" s="44" t="str">
        <f t="shared" si="15"/>
        <v xml:space="preserve">
TSR indication integration (Digital possession and safety notes)  HMI Development</v>
      </c>
      <c r="D62" s="44" t="s">
        <v>227</v>
      </c>
      <c r="E62" s="44">
        <f t="shared" si="8"/>
        <v>0</v>
      </c>
      <c r="F62" s="44">
        <f t="shared" si="9"/>
        <v>0</v>
      </c>
      <c r="G62" s="44">
        <f t="shared" si="10"/>
        <v>0</v>
      </c>
      <c r="H62" s="163">
        <v>1</v>
      </c>
      <c r="I62" s="44">
        <f t="shared" si="11"/>
        <v>0</v>
      </c>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row>
    <row r="63" spans="1:49" ht="15" customHeight="1" x14ac:dyDescent="0.35">
      <c r="A63" s="44" t="s">
        <v>12</v>
      </c>
      <c r="B63" s="44"/>
      <c r="C63" s="44" t="str">
        <f t="shared" si="15"/>
        <v xml:space="preserve">
TSR indication integration (Digital possession and safety notes)  DataPrep</v>
      </c>
      <c r="D63" s="44" t="s">
        <v>279</v>
      </c>
      <c r="E63" s="44">
        <f t="shared" si="8"/>
        <v>0</v>
      </c>
      <c r="F63" s="44">
        <f t="shared" si="9"/>
        <v>0</v>
      </c>
      <c r="G63" s="44">
        <f t="shared" si="10"/>
        <v>0</v>
      </c>
      <c r="H63" s="163">
        <v>1</v>
      </c>
      <c r="I63" s="44">
        <f t="shared" si="11"/>
        <v>0</v>
      </c>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row>
    <row r="64" spans="1:49" ht="15" customHeight="1" x14ac:dyDescent="0.35">
      <c r="A64" s="44" t="s">
        <v>12</v>
      </c>
      <c r="B64" s="44"/>
      <c r="C64" s="44" t="str">
        <f t="shared" si="15"/>
        <v xml:space="preserve">
TSR indication integration (Digital possession and safety notes)  V&amp;V</v>
      </c>
      <c r="D64" s="44" t="s">
        <v>278</v>
      </c>
      <c r="E64" s="44">
        <f t="shared" si="8"/>
        <v>0</v>
      </c>
      <c r="F64" s="44">
        <f t="shared" si="9"/>
        <v>0</v>
      </c>
      <c r="G64" s="44">
        <f t="shared" si="10"/>
        <v>0</v>
      </c>
      <c r="H64" s="163">
        <v>1</v>
      </c>
      <c r="I64" s="44">
        <f t="shared" si="11"/>
        <v>0</v>
      </c>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row>
    <row r="65" spans="1:49" ht="15" customHeight="1" x14ac:dyDescent="0.35">
      <c r="A65" s="44" t="s">
        <v>12</v>
      </c>
      <c r="B65" s="44"/>
      <c r="C65" s="44" t="str">
        <f t="shared" si="15"/>
        <v xml:space="preserve">
TSR indication integration (Digital possession and safety notes)  Other</v>
      </c>
      <c r="D65" s="44" t="s">
        <v>280</v>
      </c>
      <c r="E65" s="44">
        <f t="shared" si="8"/>
        <v>0</v>
      </c>
      <c r="F65" s="44">
        <f t="shared" si="9"/>
        <v>0</v>
      </c>
      <c r="G65" s="44">
        <f t="shared" si="10"/>
        <v>0</v>
      </c>
      <c r="H65" s="163">
        <v>1</v>
      </c>
      <c r="I65" s="44">
        <f t="shared" si="11"/>
        <v>0</v>
      </c>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row>
    <row r="66" spans="1:49" ht="15" customHeight="1" x14ac:dyDescent="0.35">
      <c r="A66" s="44" t="s">
        <v>12</v>
      </c>
      <c r="B66" s="44"/>
      <c r="C66" s="190" t="s">
        <v>63</v>
      </c>
      <c r="D66" s="44"/>
      <c r="E66" s="44">
        <f t="shared" si="8"/>
        <v>0</v>
      </c>
      <c r="F66" s="44">
        <f t="shared" si="9"/>
        <v>0</v>
      </c>
      <c r="G66" s="44">
        <f t="shared" si="10"/>
        <v>0</v>
      </c>
      <c r="H66" s="163">
        <v>1</v>
      </c>
      <c r="I66" s="44">
        <f t="shared" si="11"/>
        <v>0</v>
      </c>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row>
    <row r="67" spans="1:49" ht="15" customHeight="1" x14ac:dyDescent="0.35">
      <c r="A67" s="44" t="s">
        <v>12</v>
      </c>
      <c r="B67" s="44"/>
      <c r="C67" s="44" t="str">
        <f>$C$66&amp;" "&amp;D67</f>
        <v>BC Offline Services Support System</v>
      </c>
      <c r="D67" s="44" t="s">
        <v>198</v>
      </c>
      <c r="E67" s="44">
        <f t="shared" ref="E67:E98" si="16">G67*160</f>
        <v>0</v>
      </c>
      <c r="F67" s="44">
        <f t="shared" ref="F67:F98" si="17">E67/8</f>
        <v>0</v>
      </c>
      <c r="G67" s="44">
        <f t="shared" ref="G67:G98" si="18">COUNTIF(K67:AT67, "-")*H67</f>
        <v>0</v>
      </c>
      <c r="H67" s="163">
        <v>1</v>
      </c>
      <c r="I67" s="44">
        <f t="shared" ref="I67:I98" si="19">E67*54</f>
        <v>0</v>
      </c>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row>
    <row r="68" spans="1:49" ht="15" customHeight="1" x14ac:dyDescent="0.35">
      <c r="A68" s="44" t="s">
        <v>12</v>
      </c>
      <c r="B68" s="44"/>
      <c r="C68" s="44" t="str">
        <f t="shared" ref="C68:C72" si="20">$C$66&amp;" "&amp;D68</f>
        <v>BC Offline Services Support Core Development</v>
      </c>
      <c r="D68" s="44" t="s">
        <v>459</v>
      </c>
      <c r="E68" s="44">
        <f t="shared" si="16"/>
        <v>0</v>
      </c>
      <c r="F68" s="44">
        <f t="shared" si="17"/>
        <v>0</v>
      </c>
      <c r="G68" s="44">
        <f t="shared" si="18"/>
        <v>0</v>
      </c>
      <c r="H68" s="163">
        <v>1</v>
      </c>
      <c r="I68" s="44">
        <f t="shared" si="19"/>
        <v>0</v>
      </c>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row>
    <row r="69" spans="1:49" ht="15" customHeight="1" x14ac:dyDescent="0.35">
      <c r="A69" s="44" t="s">
        <v>12</v>
      </c>
      <c r="B69" s="44"/>
      <c r="C69" s="44" t="str">
        <f t="shared" si="20"/>
        <v>BC Offline Services Support HMI Development</v>
      </c>
      <c r="D69" s="44" t="s">
        <v>227</v>
      </c>
      <c r="E69" s="44">
        <f t="shared" si="16"/>
        <v>0</v>
      </c>
      <c r="F69" s="44">
        <f t="shared" si="17"/>
        <v>0</v>
      </c>
      <c r="G69" s="44">
        <f t="shared" si="18"/>
        <v>0</v>
      </c>
      <c r="H69" s="163">
        <v>1</v>
      </c>
      <c r="I69" s="44">
        <f t="shared" si="19"/>
        <v>0</v>
      </c>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row>
    <row r="70" spans="1:49" ht="15" customHeight="1" x14ac:dyDescent="0.35">
      <c r="A70" s="44" t="s">
        <v>12</v>
      </c>
      <c r="B70" s="44"/>
      <c r="C70" s="44" t="str">
        <f t="shared" si="20"/>
        <v>BC Offline Services Support DataPrep</v>
      </c>
      <c r="D70" s="44" t="s">
        <v>279</v>
      </c>
      <c r="E70" s="44">
        <f t="shared" si="16"/>
        <v>0</v>
      </c>
      <c r="F70" s="44">
        <f t="shared" si="17"/>
        <v>0</v>
      </c>
      <c r="G70" s="44">
        <f t="shared" si="18"/>
        <v>0</v>
      </c>
      <c r="H70" s="163">
        <v>1</v>
      </c>
      <c r="I70" s="44">
        <f t="shared" si="19"/>
        <v>0</v>
      </c>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row>
    <row r="71" spans="1:49" ht="15" customHeight="1" x14ac:dyDescent="0.35">
      <c r="A71" s="44" t="s">
        <v>12</v>
      </c>
      <c r="B71" s="44"/>
      <c r="C71" s="44" t="str">
        <f t="shared" si="20"/>
        <v>BC Offline Services Support V&amp;V</v>
      </c>
      <c r="D71" s="44" t="s">
        <v>278</v>
      </c>
      <c r="E71" s="44">
        <f t="shared" si="16"/>
        <v>0</v>
      </c>
      <c r="F71" s="44">
        <f t="shared" si="17"/>
        <v>0</v>
      </c>
      <c r="G71" s="44">
        <f t="shared" si="18"/>
        <v>0</v>
      </c>
      <c r="H71" s="163">
        <v>1</v>
      </c>
      <c r="I71" s="44">
        <f t="shared" si="19"/>
        <v>0</v>
      </c>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row>
    <row r="72" spans="1:49" ht="15" customHeight="1" x14ac:dyDescent="0.35">
      <c r="A72" s="44" t="s">
        <v>12</v>
      </c>
      <c r="B72" s="44"/>
      <c r="C72" s="44" t="str">
        <f t="shared" si="20"/>
        <v>BC Offline Services Support Other</v>
      </c>
      <c r="D72" s="44" t="s">
        <v>280</v>
      </c>
      <c r="E72" s="44">
        <f t="shared" si="16"/>
        <v>0</v>
      </c>
      <c r="F72" s="44">
        <f t="shared" si="17"/>
        <v>0</v>
      </c>
      <c r="G72" s="44">
        <f t="shared" si="18"/>
        <v>0</v>
      </c>
      <c r="H72" s="163">
        <v>1</v>
      </c>
      <c r="I72" s="44">
        <f t="shared" si="19"/>
        <v>0</v>
      </c>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row>
    <row r="73" spans="1:49" ht="15" customHeight="1" x14ac:dyDescent="0.35">
      <c r="A73" s="44" t="s">
        <v>12</v>
      </c>
      <c r="B73" s="44"/>
      <c r="C73" s="190" t="s">
        <v>65</v>
      </c>
      <c r="D73" s="44"/>
      <c r="E73" s="44">
        <f t="shared" si="16"/>
        <v>0</v>
      </c>
      <c r="F73" s="44">
        <f t="shared" si="17"/>
        <v>0</v>
      </c>
      <c r="G73" s="44">
        <f t="shared" si="18"/>
        <v>0</v>
      </c>
      <c r="H73" s="163">
        <v>1</v>
      </c>
      <c r="I73" s="44">
        <f t="shared" si="19"/>
        <v>0</v>
      </c>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row>
    <row r="74" spans="1:49" ht="15" customHeight="1" x14ac:dyDescent="0.35">
      <c r="A74" s="44" t="s">
        <v>12</v>
      </c>
      <c r="B74" s="44"/>
      <c r="C74" s="44" t="str">
        <f>$C$73&amp;" "&amp;D74</f>
        <v>BC External Interface Support System</v>
      </c>
      <c r="D74" s="44" t="s">
        <v>198</v>
      </c>
      <c r="E74" s="44">
        <f t="shared" si="16"/>
        <v>0</v>
      </c>
      <c r="F74" s="44">
        <f t="shared" si="17"/>
        <v>0</v>
      </c>
      <c r="G74" s="44">
        <f t="shared" si="18"/>
        <v>0</v>
      </c>
      <c r="H74" s="163">
        <v>1</v>
      </c>
      <c r="I74" s="44">
        <f t="shared" si="19"/>
        <v>0</v>
      </c>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row>
    <row r="75" spans="1:49" ht="15" customHeight="1" x14ac:dyDescent="0.35">
      <c r="A75" s="44" t="s">
        <v>12</v>
      </c>
      <c r="B75" s="44"/>
      <c r="C75" s="44" t="str">
        <f t="shared" ref="C75:C79" si="21">$C$73&amp;" "&amp;D75</f>
        <v>BC External Interface Support Core Development</v>
      </c>
      <c r="D75" s="44" t="s">
        <v>459</v>
      </c>
      <c r="E75" s="44">
        <f t="shared" si="16"/>
        <v>0</v>
      </c>
      <c r="F75" s="44">
        <f t="shared" si="17"/>
        <v>0</v>
      </c>
      <c r="G75" s="44">
        <f t="shared" si="18"/>
        <v>0</v>
      </c>
      <c r="H75" s="163">
        <v>1</v>
      </c>
      <c r="I75" s="44">
        <f t="shared" si="19"/>
        <v>0</v>
      </c>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row>
    <row r="76" spans="1:49" ht="15" customHeight="1" x14ac:dyDescent="0.35">
      <c r="A76" s="44" t="s">
        <v>12</v>
      </c>
      <c r="B76" s="44"/>
      <c r="C76" s="44" t="str">
        <f t="shared" si="21"/>
        <v>BC External Interface Support HMI Development</v>
      </c>
      <c r="D76" s="44" t="s">
        <v>227</v>
      </c>
      <c r="E76" s="44">
        <f t="shared" si="16"/>
        <v>0</v>
      </c>
      <c r="F76" s="44">
        <f t="shared" si="17"/>
        <v>0</v>
      </c>
      <c r="G76" s="44">
        <f t="shared" si="18"/>
        <v>0</v>
      </c>
      <c r="H76" s="163">
        <v>1</v>
      </c>
      <c r="I76" s="44">
        <f t="shared" si="19"/>
        <v>0</v>
      </c>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row>
    <row r="77" spans="1:49" ht="15" customHeight="1" x14ac:dyDescent="0.35">
      <c r="A77" s="44" t="s">
        <v>12</v>
      </c>
      <c r="B77" s="44"/>
      <c r="C77" s="44" t="str">
        <f t="shared" si="21"/>
        <v>BC External Interface Support DataPrep</v>
      </c>
      <c r="D77" s="44" t="s">
        <v>279</v>
      </c>
      <c r="E77" s="44">
        <f t="shared" si="16"/>
        <v>0</v>
      </c>
      <c r="F77" s="44">
        <f t="shared" si="17"/>
        <v>0</v>
      </c>
      <c r="G77" s="44">
        <f t="shared" si="18"/>
        <v>0</v>
      </c>
      <c r="H77" s="163">
        <v>1</v>
      </c>
      <c r="I77" s="44">
        <f t="shared" si="19"/>
        <v>0</v>
      </c>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row>
    <row r="78" spans="1:49" ht="15" customHeight="1" x14ac:dyDescent="0.35">
      <c r="A78" s="44" t="s">
        <v>12</v>
      </c>
      <c r="B78" s="44"/>
      <c r="C78" s="44" t="str">
        <f t="shared" si="21"/>
        <v>BC External Interface Support V&amp;V</v>
      </c>
      <c r="D78" s="44" t="s">
        <v>278</v>
      </c>
      <c r="E78" s="44">
        <f t="shared" si="16"/>
        <v>0</v>
      </c>
      <c r="F78" s="44">
        <f t="shared" si="17"/>
        <v>0</v>
      </c>
      <c r="G78" s="44">
        <f t="shared" si="18"/>
        <v>0</v>
      </c>
      <c r="H78" s="163">
        <v>1</v>
      </c>
      <c r="I78" s="44">
        <f t="shared" si="19"/>
        <v>0</v>
      </c>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row>
    <row r="79" spans="1:49" ht="15" customHeight="1" x14ac:dyDescent="0.35">
      <c r="A79" s="44" t="s">
        <v>12</v>
      </c>
      <c r="B79" s="44"/>
      <c r="C79" s="44" t="str">
        <f t="shared" si="21"/>
        <v>BC External Interface Support Other</v>
      </c>
      <c r="D79" s="44" t="s">
        <v>280</v>
      </c>
      <c r="E79" s="44">
        <f t="shared" si="16"/>
        <v>0</v>
      </c>
      <c r="F79" s="44">
        <f t="shared" si="17"/>
        <v>0</v>
      </c>
      <c r="G79" s="44">
        <f t="shared" si="18"/>
        <v>0</v>
      </c>
      <c r="H79" s="163">
        <v>1</v>
      </c>
      <c r="I79" s="44">
        <f t="shared" si="19"/>
        <v>0</v>
      </c>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row>
    <row r="80" spans="1:49" ht="15" customHeight="1" x14ac:dyDescent="0.35">
      <c r="A80" s="44" t="s">
        <v>12</v>
      </c>
      <c r="B80" s="44"/>
      <c r="C80" s="190" t="s">
        <v>67</v>
      </c>
      <c r="D80" s="44"/>
      <c r="E80" s="44">
        <f t="shared" si="16"/>
        <v>0</v>
      </c>
      <c r="F80" s="44">
        <f t="shared" si="17"/>
        <v>0</v>
      </c>
      <c r="G80" s="44">
        <f t="shared" si="18"/>
        <v>0</v>
      </c>
      <c r="H80" s="163">
        <v>1</v>
      </c>
      <c r="I80" s="44">
        <f t="shared" si="19"/>
        <v>0</v>
      </c>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row>
    <row r="81" spans="1:49" ht="15" customHeight="1" x14ac:dyDescent="0.35">
      <c r="A81" s="44" t="s">
        <v>12</v>
      </c>
      <c r="B81" s="44"/>
      <c r="C81" s="44" t="str">
        <f>$C$80&amp;" "&amp;D81</f>
        <v>BC Maintenance console update System</v>
      </c>
      <c r="D81" s="44" t="s">
        <v>198</v>
      </c>
      <c r="E81" s="44">
        <f t="shared" si="16"/>
        <v>0</v>
      </c>
      <c r="F81" s="44">
        <f t="shared" si="17"/>
        <v>0</v>
      </c>
      <c r="G81" s="44">
        <f t="shared" si="18"/>
        <v>0</v>
      </c>
      <c r="H81" s="163">
        <v>1</v>
      </c>
      <c r="I81" s="44">
        <f t="shared" si="19"/>
        <v>0</v>
      </c>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row>
    <row r="82" spans="1:49" ht="15" customHeight="1" x14ac:dyDescent="0.35">
      <c r="A82" s="44" t="s">
        <v>12</v>
      </c>
      <c r="B82" s="44"/>
      <c r="C82" s="44" t="str">
        <f t="shared" ref="C82:C86" si="22">$C$80&amp;" "&amp;D82</f>
        <v>BC Maintenance console update Core Development</v>
      </c>
      <c r="D82" s="44" t="s">
        <v>459</v>
      </c>
      <c r="E82" s="44">
        <f t="shared" si="16"/>
        <v>0</v>
      </c>
      <c r="F82" s="44">
        <f t="shared" si="17"/>
        <v>0</v>
      </c>
      <c r="G82" s="44">
        <f t="shared" si="18"/>
        <v>0</v>
      </c>
      <c r="H82" s="163">
        <v>1</v>
      </c>
      <c r="I82" s="44">
        <f t="shared" si="19"/>
        <v>0</v>
      </c>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row>
    <row r="83" spans="1:49" ht="15" customHeight="1" x14ac:dyDescent="0.35">
      <c r="A83" s="44" t="s">
        <v>12</v>
      </c>
      <c r="B83" s="44"/>
      <c r="C83" s="44" t="str">
        <f t="shared" si="22"/>
        <v>BC Maintenance console update HMI Development</v>
      </c>
      <c r="D83" s="44" t="s">
        <v>227</v>
      </c>
      <c r="E83" s="44">
        <f t="shared" si="16"/>
        <v>0</v>
      </c>
      <c r="F83" s="44">
        <f t="shared" si="17"/>
        <v>0</v>
      </c>
      <c r="G83" s="44">
        <f t="shared" si="18"/>
        <v>0</v>
      </c>
      <c r="H83" s="163">
        <v>1</v>
      </c>
      <c r="I83" s="44">
        <f t="shared" si="19"/>
        <v>0</v>
      </c>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row>
    <row r="84" spans="1:49" ht="15" customHeight="1" x14ac:dyDescent="0.35">
      <c r="A84" s="44" t="s">
        <v>12</v>
      </c>
      <c r="B84" s="44"/>
      <c r="C84" s="44" t="str">
        <f t="shared" si="22"/>
        <v>BC Maintenance console update DataPrep</v>
      </c>
      <c r="D84" s="44" t="s">
        <v>279</v>
      </c>
      <c r="E84" s="44">
        <f t="shared" si="16"/>
        <v>0</v>
      </c>
      <c r="F84" s="44">
        <f t="shared" si="17"/>
        <v>0</v>
      </c>
      <c r="G84" s="44">
        <f t="shared" si="18"/>
        <v>0</v>
      </c>
      <c r="H84" s="163">
        <v>1</v>
      </c>
      <c r="I84" s="44">
        <f t="shared" si="19"/>
        <v>0</v>
      </c>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row>
    <row r="85" spans="1:49" ht="15" customHeight="1" x14ac:dyDescent="0.35">
      <c r="A85" s="44" t="s">
        <v>12</v>
      </c>
      <c r="B85" s="44"/>
      <c r="C85" s="44" t="str">
        <f t="shared" si="22"/>
        <v>BC Maintenance console update V&amp;V</v>
      </c>
      <c r="D85" s="44" t="s">
        <v>278</v>
      </c>
      <c r="E85" s="44">
        <f t="shared" si="16"/>
        <v>0</v>
      </c>
      <c r="F85" s="44">
        <f t="shared" si="17"/>
        <v>0</v>
      </c>
      <c r="G85" s="44">
        <f t="shared" si="18"/>
        <v>0</v>
      </c>
      <c r="H85" s="163">
        <v>1</v>
      </c>
      <c r="I85" s="44">
        <f t="shared" si="19"/>
        <v>0</v>
      </c>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row>
    <row r="86" spans="1:49" ht="15" customHeight="1" x14ac:dyDescent="0.35">
      <c r="A86" s="44" t="s">
        <v>12</v>
      </c>
      <c r="B86" s="44"/>
      <c r="C86" s="44" t="str">
        <f t="shared" si="22"/>
        <v>BC Maintenance console update Other</v>
      </c>
      <c r="D86" s="44" t="s">
        <v>280</v>
      </c>
      <c r="E86" s="44">
        <f t="shared" si="16"/>
        <v>0</v>
      </c>
      <c r="F86" s="44">
        <f t="shared" si="17"/>
        <v>0</v>
      </c>
      <c r="G86" s="44">
        <f t="shared" si="18"/>
        <v>0</v>
      </c>
      <c r="H86" s="163">
        <v>1</v>
      </c>
      <c r="I86" s="44">
        <f t="shared" si="19"/>
        <v>0</v>
      </c>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row>
    <row r="87" spans="1:49" ht="15" customHeight="1" x14ac:dyDescent="0.35">
      <c r="A87" s="44" t="s">
        <v>12</v>
      </c>
      <c r="B87" s="44"/>
      <c r="C87" s="190" t="s">
        <v>74</v>
      </c>
      <c r="D87" s="44"/>
      <c r="E87" s="44">
        <f t="shared" si="16"/>
        <v>0</v>
      </c>
      <c r="F87" s="44">
        <f t="shared" si="17"/>
        <v>0</v>
      </c>
      <c r="G87" s="44">
        <f t="shared" si="18"/>
        <v>0</v>
      </c>
      <c r="H87" s="163">
        <v>1</v>
      </c>
      <c r="I87" s="44">
        <f t="shared" si="19"/>
        <v>0</v>
      </c>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row>
    <row r="88" spans="1:49" ht="15" customHeight="1" x14ac:dyDescent="0.35">
      <c r="A88" s="44" t="s">
        <v>12</v>
      </c>
      <c r="B88" s="44"/>
      <c r="C88" s="44" t="str">
        <f>$C$87&amp;" "&amp;D88</f>
        <v>TAC System</v>
      </c>
      <c r="D88" s="44" t="s">
        <v>198</v>
      </c>
      <c r="E88" s="44">
        <f t="shared" si="16"/>
        <v>0</v>
      </c>
      <c r="F88" s="44">
        <f t="shared" si="17"/>
        <v>0</v>
      </c>
      <c r="G88" s="44">
        <f t="shared" si="18"/>
        <v>0</v>
      </c>
      <c r="H88" s="163">
        <v>1</v>
      </c>
      <c r="I88" s="44">
        <f t="shared" si="19"/>
        <v>0</v>
      </c>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row>
    <row r="89" spans="1:49" ht="15" customHeight="1" x14ac:dyDescent="0.35">
      <c r="A89" s="44" t="s">
        <v>12</v>
      </c>
      <c r="B89" s="44"/>
      <c r="C89" s="44" t="str">
        <f t="shared" ref="C89:C93" si="23">$C$87&amp;" "&amp;D89</f>
        <v>TAC Core Development</v>
      </c>
      <c r="D89" s="44" t="s">
        <v>459</v>
      </c>
      <c r="E89" s="44">
        <f t="shared" si="16"/>
        <v>0</v>
      </c>
      <c r="F89" s="44">
        <f t="shared" si="17"/>
        <v>0</v>
      </c>
      <c r="G89" s="44">
        <f t="shared" si="18"/>
        <v>0</v>
      </c>
      <c r="H89" s="163">
        <v>1</v>
      </c>
      <c r="I89" s="44">
        <f t="shared" si="19"/>
        <v>0</v>
      </c>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row>
    <row r="90" spans="1:49" ht="15" customHeight="1" x14ac:dyDescent="0.35">
      <c r="A90" s="44" t="s">
        <v>12</v>
      </c>
      <c r="B90" s="44"/>
      <c r="C90" s="44" t="str">
        <f t="shared" si="23"/>
        <v>TAC HMI Development</v>
      </c>
      <c r="D90" s="44" t="s">
        <v>227</v>
      </c>
      <c r="E90" s="44">
        <f t="shared" si="16"/>
        <v>0</v>
      </c>
      <c r="F90" s="44">
        <f t="shared" si="17"/>
        <v>0</v>
      </c>
      <c r="G90" s="44">
        <f t="shared" si="18"/>
        <v>0</v>
      </c>
      <c r="H90" s="163">
        <v>1</v>
      </c>
      <c r="I90" s="44">
        <f t="shared" si="19"/>
        <v>0</v>
      </c>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row>
    <row r="91" spans="1:49" ht="15" customHeight="1" x14ac:dyDescent="0.35">
      <c r="A91" s="44" t="s">
        <v>12</v>
      </c>
      <c r="B91" s="44"/>
      <c r="C91" s="44" t="str">
        <f t="shared" si="23"/>
        <v>TAC DataPrep</v>
      </c>
      <c r="D91" s="44" t="s">
        <v>279</v>
      </c>
      <c r="E91" s="44">
        <f t="shared" si="16"/>
        <v>0</v>
      </c>
      <c r="F91" s="44">
        <f t="shared" si="17"/>
        <v>0</v>
      </c>
      <c r="G91" s="44">
        <f t="shared" si="18"/>
        <v>0</v>
      </c>
      <c r="H91" s="163">
        <v>1</v>
      </c>
      <c r="I91" s="44">
        <f t="shared" si="19"/>
        <v>0</v>
      </c>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row>
    <row r="92" spans="1:49" ht="15" customHeight="1" x14ac:dyDescent="0.35">
      <c r="A92" s="44" t="s">
        <v>12</v>
      </c>
      <c r="B92" s="44"/>
      <c r="C92" s="44" t="str">
        <f t="shared" si="23"/>
        <v>TAC V&amp;V</v>
      </c>
      <c r="D92" s="44" t="s">
        <v>278</v>
      </c>
      <c r="E92" s="44">
        <f t="shared" si="16"/>
        <v>0</v>
      </c>
      <c r="F92" s="44">
        <f t="shared" si="17"/>
        <v>0</v>
      </c>
      <c r="G92" s="44">
        <f t="shared" si="18"/>
        <v>0</v>
      </c>
      <c r="H92" s="163">
        <v>1</v>
      </c>
      <c r="I92" s="44">
        <f t="shared" si="19"/>
        <v>0</v>
      </c>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row>
    <row r="93" spans="1:49" ht="15" customHeight="1" x14ac:dyDescent="0.35">
      <c r="A93" s="44" t="s">
        <v>12</v>
      </c>
      <c r="B93" s="44"/>
      <c r="C93" s="44" t="str">
        <f t="shared" si="23"/>
        <v>TAC Other</v>
      </c>
      <c r="D93" s="44" t="s">
        <v>280</v>
      </c>
      <c r="E93" s="44">
        <f t="shared" si="16"/>
        <v>0</v>
      </c>
      <c r="F93" s="44">
        <f t="shared" si="17"/>
        <v>0</v>
      </c>
      <c r="G93" s="44">
        <f t="shared" si="18"/>
        <v>0</v>
      </c>
      <c r="H93" s="163">
        <v>1</v>
      </c>
      <c r="I93" s="44">
        <f t="shared" si="19"/>
        <v>0</v>
      </c>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row>
    <row r="94" spans="1:49" ht="15" customHeight="1" x14ac:dyDescent="0.35">
      <c r="A94" s="44" t="s">
        <v>12</v>
      </c>
      <c r="B94" s="44"/>
      <c r="C94" s="190" t="s">
        <v>188</v>
      </c>
      <c r="D94" s="44"/>
      <c r="E94" s="44">
        <f t="shared" si="16"/>
        <v>0</v>
      </c>
      <c r="F94" s="44">
        <f t="shared" si="17"/>
        <v>0</v>
      </c>
      <c r="G94" s="44">
        <f t="shared" si="18"/>
        <v>0</v>
      </c>
      <c r="H94" s="163">
        <v>1</v>
      </c>
      <c r="I94" s="44">
        <f t="shared" si="19"/>
        <v>0</v>
      </c>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row>
    <row r="95" spans="1:49" ht="15" customHeight="1" x14ac:dyDescent="0.35">
      <c r="A95" s="44" t="s">
        <v>12</v>
      </c>
      <c r="B95" s="44"/>
      <c r="C95" s="44" t="str">
        <f>$C$94&amp;" "&amp;D95</f>
        <v>TAPV (PBC) System</v>
      </c>
      <c r="D95" s="44" t="s">
        <v>198</v>
      </c>
      <c r="E95" s="44">
        <f t="shared" si="16"/>
        <v>0</v>
      </c>
      <c r="F95" s="44">
        <f t="shared" si="17"/>
        <v>0</v>
      </c>
      <c r="G95" s="44">
        <f t="shared" si="18"/>
        <v>0</v>
      </c>
      <c r="H95" s="163">
        <v>1</v>
      </c>
      <c r="I95" s="44">
        <f t="shared" si="19"/>
        <v>0</v>
      </c>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row>
    <row r="96" spans="1:49" ht="15" customHeight="1" x14ac:dyDescent="0.35">
      <c r="A96" s="44" t="s">
        <v>12</v>
      </c>
      <c r="B96" s="44"/>
      <c r="C96" s="44" t="str">
        <f t="shared" ref="C96:C100" si="24">$C$94&amp;" "&amp;D96</f>
        <v>TAPV (PBC) Core Development</v>
      </c>
      <c r="D96" s="44" t="s">
        <v>459</v>
      </c>
      <c r="E96" s="44">
        <f t="shared" si="16"/>
        <v>0</v>
      </c>
      <c r="F96" s="44">
        <f t="shared" si="17"/>
        <v>0</v>
      </c>
      <c r="G96" s="44">
        <f t="shared" si="18"/>
        <v>0</v>
      </c>
      <c r="H96" s="163">
        <v>1</v>
      </c>
      <c r="I96" s="44">
        <f t="shared" si="19"/>
        <v>0</v>
      </c>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row>
    <row r="97" spans="1:49" ht="15" customHeight="1" x14ac:dyDescent="0.35">
      <c r="A97" s="44" t="s">
        <v>12</v>
      </c>
      <c r="B97" s="44"/>
      <c r="C97" s="44" t="str">
        <f t="shared" si="24"/>
        <v>TAPV (PBC) HMI Development</v>
      </c>
      <c r="D97" s="44" t="s">
        <v>227</v>
      </c>
      <c r="E97" s="44">
        <f t="shared" si="16"/>
        <v>0</v>
      </c>
      <c r="F97" s="44">
        <f t="shared" si="17"/>
        <v>0</v>
      </c>
      <c r="G97" s="44">
        <f t="shared" si="18"/>
        <v>0</v>
      </c>
      <c r="H97" s="163">
        <v>1</v>
      </c>
      <c r="I97" s="44">
        <f t="shared" si="19"/>
        <v>0</v>
      </c>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row>
    <row r="98" spans="1:49" ht="15" customHeight="1" x14ac:dyDescent="0.35">
      <c r="A98" s="44" t="s">
        <v>12</v>
      </c>
      <c r="B98" s="44"/>
      <c r="C98" s="44" t="str">
        <f t="shared" si="24"/>
        <v>TAPV (PBC) DataPrep</v>
      </c>
      <c r="D98" s="44" t="s">
        <v>279</v>
      </c>
      <c r="E98" s="44">
        <f t="shared" si="16"/>
        <v>0</v>
      </c>
      <c r="F98" s="44">
        <f t="shared" si="17"/>
        <v>0</v>
      </c>
      <c r="G98" s="44">
        <f t="shared" si="18"/>
        <v>0</v>
      </c>
      <c r="H98" s="163">
        <v>1</v>
      </c>
      <c r="I98" s="44">
        <f t="shared" si="19"/>
        <v>0</v>
      </c>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row>
    <row r="99" spans="1:49" ht="15" customHeight="1" x14ac:dyDescent="0.35">
      <c r="A99" s="44" t="s">
        <v>12</v>
      </c>
      <c r="B99" s="44"/>
      <c r="C99" s="44" t="str">
        <f t="shared" si="24"/>
        <v>TAPV (PBC) V&amp;V</v>
      </c>
      <c r="D99" s="44" t="s">
        <v>278</v>
      </c>
      <c r="E99" s="44">
        <f t="shared" ref="E99:E130" si="25">G99*160</f>
        <v>0</v>
      </c>
      <c r="F99" s="44">
        <f t="shared" ref="F99:F130" si="26">E99/8</f>
        <v>0</v>
      </c>
      <c r="G99" s="44">
        <f t="shared" ref="G99:G130" si="27">COUNTIF(K99:AT99, "-")*H99</f>
        <v>0</v>
      </c>
      <c r="H99" s="163">
        <v>1</v>
      </c>
      <c r="I99" s="44">
        <f t="shared" ref="I99:I130" si="28">E99*54</f>
        <v>0</v>
      </c>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row>
    <row r="100" spans="1:49" ht="15" customHeight="1" x14ac:dyDescent="0.35">
      <c r="A100" s="44" t="s">
        <v>12</v>
      </c>
      <c r="B100" s="44"/>
      <c r="C100" s="44" t="str">
        <f t="shared" si="24"/>
        <v>TAPV (PBC) Other</v>
      </c>
      <c r="D100" s="44" t="s">
        <v>280</v>
      </c>
      <c r="E100" s="44">
        <f t="shared" si="25"/>
        <v>0</v>
      </c>
      <c r="F100" s="44">
        <f t="shared" si="26"/>
        <v>0</v>
      </c>
      <c r="G100" s="44">
        <f t="shared" si="27"/>
        <v>0</v>
      </c>
      <c r="H100" s="163">
        <v>1</v>
      </c>
      <c r="I100" s="44">
        <f t="shared" si="28"/>
        <v>0</v>
      </c>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row>
    <row r="101" spans="1:49" ht="15" customHeight="1" x14ac:dyDescent="0.35">
      <c r="A101" s="44" t="s">
        <v>12</v>
      </c>
      <c r="B101" s="44"/>
      <c r="C101" s="190" t="s">
        <v>76</v>
      </c>
      <c r="D101" s="44"/>
      <c r="E101" s="44">
        <f t="shared" si="25"/>
        <v>0</v>
      </c>
      <c r="F101" s="44">
        <f t="shared" si="26"/>
        <v>0</v>
      </c>
      <c r="G101" s="44">
        <f t="shared" si="27"/>
        <v>0</v>
      </c>
      <c r="H101" s="163">
        <v>1</v>
      </c>
      <c r="I101" s="44">
        <f t="shared" si="28"/>
        <v>0</v>
      </c>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row>
    <row r="102" spans="1:49" ht="15" customHeight="1" x14ac:dyDescent="0.35">
      <c r="A102" s="44" t="s">
        <v>12</v>
      </c>
      <c r="B102" s="44"/>
      <c r="C102" s="44" t="str">
        <f>$C$101&amp;" "&amp;D102</f>
        <v>Shunting plan handling System</v>
      </c>
      <c r="D102" s="44" t="s">
        <v>198</v>
      </c>
      <c r="E102" s="44">
        <f t="shared" si="25"/>
        <v>0</v>
      </c>
      <c r="F102" s="44">
        <f t="shared" si="26"/>
        <v>0</v>
      </c>
      <c r="G102" s="44">
        <f t="shared" si="27"/>
        <v>0</v>
      </c>
      <c r="H102" s="163">
        <v>1</v>
      </c>
      <c r="I102" s="44">
        <f t="shared" si="28"/>
        <v>0</v>
      </c>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row>
    <row r="103" spans="1:49" ht="15" customHeight="1" x14ac:dyDescent="0.35">
      <c r="A103" s="44" t="s">
        <v>12</v>
      </c>
      <c r="B103" s="44"/>
      <c r="C103" s="44" t="str">
        <f t="shared" ref="C103:C107" si="29">$C$101&amp;" "&amp;D103</f>
        <v>Shunting plan handling Core Development</v>
      </c>
      <c r="D103" s="44" t="s">
        <v>459</v>
      </c>
      <c r="E103" s="44">
        <f t="shared" si="25"/>
        <v>0</v>
      </c>
      <c r="F103" s="44">
        <f t="shared" si="26"/>
        <v>0</v>
      </c>
      <c r="G103" s="44">
        <f t="shared" si="27"/>
        <v>0</v>
      </c>
      <c r="H103" s="163">
        <v>1</v>
      </c>
      <c r="I103" s="44">
        <f t="shared" si="28"/>
        <v>0</v>
      </c>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row>
    <row r="104" spans="1:49" ht="15" customHeight="1" x14ac:dyDescent="0.35">
      <c r="A104" s="44" t="s">
        <v>12</v>
      </c>
      <c r="B104" s="44"/>
      <c r="C104" s="44" t="str">
        <f t="shared" si="29"/>
        <v>Shunting plan handling HMI Development</v>
      </c>
      <c r="D104" s="44" t="s">
        <v>227</v>
      </c>
      <c r="E104" s="44">
        <f t="shared" si="25"/>
        <v>0</v>
      </c>
      <c r="F104" s="44">
        <f t="shared" si="26"/>
        <v>0</v>
      </c>
      <c r="G104" s="44">
        <f t="shared" si="27"/>
        <v>0</v>
      </c>
      <c r="H104" s="163">
        <v>1</v>
      </c>
      <c r="I104" s="44">
        <f t="shared" si="28"/>
        <v>0</v>
      </c>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row>
    <row r="105" spans="1:49" ht="15" customHeight="1" x14ac:dyDescent="0.35">
      <c r="A105" s="44" t="s">
        <v>12</v>
      </c>
      <c r="B105" s="44"/>
      <c r="C105" s="44" t="str">
        <f t="shared" si="29"/>
        <v>Shunting plan handling DataPrep</v>
      </c>
      <c r="D105" s="44" t="s">
        <v>279</v>
      </c>
      <c r="E105" s="44">
        <f t="shared" si="25"/>
        <v>0</v>
      </c>
      <c r="F105" s="44">
        <f t="shared" si="26"/>
        <v>0</v>
      </c>
      <c r="G105" s="44">
        <f t="shared" si="27"/>
        <v>0</v>
      </c>
      <c r="H105" s="163">
        <v>1</v>
      </c>
      <c r="I105" s="44">
        <f t="shared" si="28"/>
        <v>0</v>
      </c>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row>
    <row r="106" spans="1:49" ht="15" customHeight="1" x14ac:dyDescent="0.35">
      <c r="A106" s="44" t="s">
        <v>12</v>
      </c>
      <c r="B106" s="44"/>
      <c r="C106" s="44" t="str">
        <f t="shared" si="29"/>
        <v>Shunting plan handling V&amp;V</v>
      </c>
      <c r="D106" s="44" t="s">
        <v>278</v>
      </c>
      <c r="E106" s="44">
        <f t="shared" si="25"/>
        <v>0</v>
      </c>
      <c r="F106" s="44">
        <f t="shared" si="26"/>
        <v>0</v>
      </c>
      <c r="G106" s="44">
        <f t="shared" si="27"/>
        <v>0</v>
      </c>
      <c r="H106" s="163">
        <v>1</v>
      </c>
      <c r="I106" s="44">
        <f t="shared" si="28"/>
        <v>0</v>
      </c>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row>
    <row r="107" spans="1:49" ht="15" customHeight="1" x14ac:dyDescent="0.35">
      <c r="A107" s="44" t="s">
        <v>12</v>
      </c>
      <c r="B107" s="44"/>
      <c r="C107" s="44" t="str">
        <f t="shared" si="29"/>
        <v>Shunting plan handling Other</v>
      </c>
      <c r="D107" s="44" t="s">
        <v>280</v>
      </c>
      <c r="E107" s="44">
        <f t="shared" si="25"/>
        <v>0</v>
      </c>
      <c r="F107" s="44">
        <f t="shared" si="26"/>
        <v>0</v>
      </c>
      <c r="G107" s="44">
        <f t="shared" si="27"/>
        <v>0</v>
      </c>
      <c r="H107" s="163">
        <v>1</v>
      </c>
      <c r="I107" s="44">
        <f t="shared" si="28"/>
        <v>0</v>
      </c>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row>
    <row r="108" spans="1:49" ht="15" customHeight="1" x14ac:dyDescent="0.35">
      <c r="A108" s="44" t="s">
        <v>12</v>
      </c>
      <c r="B108" s="44"/>
      <c r="C108" s="190" t="s">
        <v>88</v>
      </c>
      <c r="D108" s="44"/>
      <c r="E108" s="44">
        <f t="shared" si="25"/>
        <v>0</v>
      </c>
      <c r="F108" s="44">
        <f t="shared" si="26"/>
        <v>0</v>
      </c>
      <c r="G108" s="44">
        <f t="shared" si="27"/>
        <v>0</v>
      </c>
      <c r="H108" s="163">
        <v>1</v>
      </c>
      <c r="I108" s="44">
        <f t="shared" si="28"/>
        <v>0</v>
      </c>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row>
    <row r="109" spans="1:49" ht="15" customHeight="1" x14ac:dyDescent="0.35">
      <c r="A109" s="44" t="s">
        <v>12</v>
      </c>
      <c r="B109" s="44"/>
      <c r="C109" s="44" t="str">
        <f>$C$108&amp;" "&amp;D109</f>
        <v>ERTMS System</v>
      </c>
      <c r="D109" s="44" t="s">
        <v>198</v>
      </c>
      <c r="E109" s="44">
        <f t="shared" si="25"/>
        <v>0</v>
      </c>
      <c r="F109" s="44">
        <f t="shared" si="26"/>
        <v>0</v>
      </c>
      <c r="G109" s="44">
        <f t="shared" si="27"/>
        <v>0</v>
      </c>
      <c r="H109" s="163">
        <v>1</v>
      </c>
      <c r="I109" s="44">
        <f t="shared" si="28"/>
        <v>0</v>
      </c>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row>
    <row r="110" spans="1:49" ht="15" customHeight="1" x14ac:dyDescent="0.35">
      <c r="A110" s="44" t="s">
        <v>12</v>
      </c>
      <c r="B110" s="44"/>
      <c r="C110" s="44" t="str">
        <f t="shared" ref="C110:C114" si="30">$C$108&amp;" "&amp;D110</f>
        <v>ERTMS Core Development</v>
      </c>
      <c r="D110" s="44" t="s">
        <v>459</v>
      </c>
      <c r="E110" s="44">
        <f t="shared" si="25"/>
        <v>0</v>
      </c>
      <c r="F110" s="44">
        <f t="shared" si="26"/>
        <v>0</v>
      </c>
      <c r="G110" s="44">
        <f t="shared" si="27"/>
        <v>0</v>
      </c>
      <c r="H110" s="163">
        <v>1</v>
      </c>
      <c r="I110" s="44">
        <f t="shared" si="28"/>
        <v>0</v>
      </c>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row>
    <row r="111" spans="1:49" ht="15" customHeight="1" x14ac:dyDescent="0.35">
      <c r="A111" s="44" t="s">
        <v>12</v>
      </c>
      <c r="B111" s="44"/>
      <c r="C111" s="44" t="str">
        <f t="shared" si="30"/>
        <v>ERTMS HMI Development</v>
      </c>
      <c r="D111" s="44" t="s">
        <v>227</v>
      </c>
      <c r="E111" s="44">
        <f t="shared" si="25"/>
        <v>0</v>
      </c>
      <c r="F111" s="44">
        <f t="shared" si="26"/>
        <v>0</v>
      </c>
      <c r="G111" s="44">
        <f t="shared" si="27"/>
        <v>0</v>
      </c>
      <c r="H111" s="163">
        <v>1</v>
      </c>
      <c r="I111" s="44">
        <f t="shared" si="28"/>
        <v>0</v>
      </c>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row>
    <row r="112" spans="1:49" ht="15" customHeight="1" x14ac:dyDescent="0.35">
      <c r="A112" s="44" t="s">
        <v>12</v>
      </c>
      <c r="B112" s="44"/>
      <c r="C112" s="44" t="str">
        <f t="shared" si="30"/>
        <v>ERTMS DataPrep</v>
      </c>
      <c r="D112" s="44" t="s">
        <v>279</v>
      </c>
      <c r="E112" s="44">
        <f t="shared" si="25"/>
        <v>0</v>
      </c>
      <c r="F112" s="44">
        <f t="shared" si="26"/>
        <v>0</v>
      </c>
      <c r="G112" s="44">
        <f t="shared" si="27"/>
        <v>0</v>
      </c>
      <c r="H112" s="163">
        <v>1</v>
      </c>
      <c r="I112" s="44">
        <f t="shared" si="28"/>
        <v>0</v>
      </c>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row>
    <row r="113" spans="1:49" ht="15" customHeight="1" x14ac:dyDescent="0.35">
      <c r="A113" s="44" t="s">
        <v>12</v>
      </c>
      <c r="B113" s="44"/>
      <c r="C113" s="44" t="str">
        <f t="shared" si="30"/>
        <v>ERTMS V&amp;V</v>
      </c>
      <c r="D113" s="44" t="s">
        <v>278</v>
      </c>
      <c r="E113" s="44">
        <f t="shared" si="25"/>
        <v>0</v>
      </c>
      <c r="F113" s="44">
        <f t="shared" si="26"/>
        <v>0</v>
      </c>
      <c r="G113" s="44">
        <f t="shared" si="27"/>
        <v>0</v>
      </c>
      <c r="H113" s="163">
        <v>1</v>
      </c>
      <c r="I113" s="44">
        <f t="shared" si="28"/>
        <v>0</v>
      </c>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row>
    <row r="114" spans="1:49" ht="15" customHeight="1" x14ac:dyDescent="0.35">
      <c r="A114" s="44" t="s">
        <v>12</v>
      </c>
      <c r="B114" s="44"/>
      <c r="C114" s="44" t="str">
        <f t="shared" si="30"/>
        <v>ERTMS Other</v>
      </c>
      <c r="D114" s="44" t="s">
        <v>280</v>
      </c>
      <c r="E114" s="44">
        <f t="shared" si="25"/>
        <v>0</v>
      </c>
      <c r="F114" s="44">
        <f t="shared" si="26"/>
        <v>0</v>
      </c>
      <c r="G114" s="44">
        <f t="shared" si="27"/>
        <v>0</v>
      </c>
      <c r="H114" s="163">
        <v>1</v>
      </c>
      <c r="I114" s="44">
        <f t="shared" si="28"/>
        <v>0</v>
      </c>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row>
    <row r="115" spans="1:49" ht="15" customHeight="1" x14ac:dyDescent="0.35">
      <c r="A115" s="44" t="s">
        <v>12</v>
      </c>
      <c r="B115" s="44"/>
      <c r="C115" s="190" t="s">
        <v>90</v>
      </c>
      <c r="D115" s="44"/>
      <c r="E115" s="44">
        <f t="shared" si="25"/>
        <v>0</v>
      </c>
      <c r="F115" s="44">
        <f t="shared" si="26"/>
        <v>0</v>
      </c>
      <c r="G115" s="44">
        <f t="shared" si="27"/>
        <v>0</v>
      </c>
      <c r="H115" s="163">
        <v>1</v>
      </c>
      <c r="I115" s="44">
        <f t="shared" si="28"/>
        <v>0</v>
      </c>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row>
    <row r="116" spans="1:49" ht="15" customHeight="1" x14ac:dyDescent="0.35">
      <c r="A116" s="44" t="s">
        <v>12</v>
      </c>
      <c r="B116" s="44"/>
      <c r="C116" s="44" t="str">
        <f>$C$115&amp;" "&amp;D116</f>
        <v>MPK(Shunting Plan) System</v>
      </c>
      <c r="D116" s="44" t="s">
        <v>198</v>
      </c>
      <c r="E116" s="44">
        <f t="shared" si="25"/>
        <v>0</v>
      </c>
      <c r="F116" s="44">
        <f t="shared" si="26"/>
        <v>0</v>
      </c>
      <c r="G116" s="44">
        <f t="shared" si="27"/>
        <v>0</v>
      </c>
      <c r="H116" s="163">
        <v>1</v>
      </c>
      <c r="I116" s="44">
        <f t="shared" si="28"/>
        <v>0</v>
      </c>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row>
    <row r="117" spans="1:49" ht="15" customHeight="1" x14ac:dyDescent="0.35">
      <c r="A117" s="44" t="s">
        <v>12</v>
      </c>
      <c r="B117" s="44"/>
      <c r="C117" s="44" t="str">
        <f t="shared" ref="C117:C121" si="31">$C$115&amp;" "&amp;D117</f>
        <v>MPK(Shunting Plan) Core Development</v>
      </c>
      <c r="D117" s="44" t="s">
        <v>459</v>
      </c>
      <c r="E117" s="44">
        <f t="shared" si="25"/>
        <v>0</v>
      </c>
      <c r="F117" s="44">
        <f t="shared" si="26"/>
        <v>0</v>
      </c>
      <c r="G117" s="44">
        <f t="shared" si="27"/>
        <v>0</v>
      </c>
      <c r="H117" s="163">
        <v>1</v>
      </c>
      <c r="I117" s="44">
        <f t="shared" si="28"/>
        <v>0</v>
      </c>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row>
    <row r="118" spans="1:49" ht="15" customHeight="1" x14ac:dyDescent="0.35">
      <c r="A118" s="44" t="s">
        <v>12</v>
      </c>
      <c r="B118" s="44"/>
      <c r="C118" s="44" t="str">
        <f t="shared" si="31"/>
        <v>MPK(Shunting Plan) HMI Development</v>
      </c>
      <c r="D118" s="44" t="s">
        <v>227</v>
      </c>
      <c r="E118" s="44">
        <f t="shared" si="25"/>
        <v>0</v>
      </c>
      <c r="F118" s="44">
        <f t="shared" si="26"/>
        <v>0</v>
      </c>
      <c r="G118" s="44">
        <f t="shared" si="27"/>
        <v>0</v>
      </c>
      <c r="H118" s="163">
        <v>1</v>
      </c>
      <c r="I118" s="44">
        <f t="shared" si="28"/>
        <v>0</v>
      </c>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row>
    <row r="119" spans="1:49" ht="15" customHeight="1" x14ac:dyDescent="0.35">
      <c r="A119" s="44" t="s">
        <v>12</v>
      </c>
      <c r="B119" s="44"/>
      <c r="C119" s="44" t="str">
        <f t="shared" si="31"/>
        <v>MPK(Shunting Plan) DataPrep</v>
      </c>
      <c r="D119" s="44" t="s">
        <v>279</v>
      </c>
      <c r="E119" s="44">
        <f t="shared" si="25"/>
        <v>0</v>
      </c>
      <c r="F119" s="44">
        <f t="shared" si="26"/>
        <v>0</v>
      </c>
      <c r="G119" s="44">
        <f t="shared" si="27"/>
        <v>0</v>
      </c>
      <c r="H119" s="163">
        <v>1</v>
      </c>
      <c r="I119" s="44">
        <f t="shared" si="28"/>
        <v>0</v>
      </c>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row>
    <row r="120" spans="1:49" ht="15" customHeight="1" x14ac:dyDescent="0.35">
      <c r="A120" s="44" t="s">
        <v>12</v>
      </c>
      <c r="B120" s="44"/>
      <c r="C120" s="44" t="str">
        <f t="shared" si="31"/>
        <v>MPK(Shunting Plan) V&amp;V</v>
      </c>
      <c r="D120" s="44" t="s">
        <v>278</v>
      </c>
      <c r="E120" s="44">
        <f t="shared" si="25"/>
        <v>0</v>
      </c>
      <c r="F120" s="44">
        <f t="shared" si="26"/>
        <v>0</v>
      </c>
      <c r="G120" s="44">
        <f t="shared" si="27"/>
        <v>0</v>
      </c>
      <c r="H120" s="163">
        <v>1</v>
      </c>
      <c r="I120" s="44">
        <f t="shared" si="28"/>
        <v>0</v>
      </c>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row>
    <row r="121" spans="1:49" ht="15" customHeight="1" x14ac:dyDescent="0.35">
      <c r="A121" s="44" t="s">
        <v>12</v>
      </c>
      <c r="B121" s="44"/>
      <c r="C121" s="44" t="str">
        <f t="shared" si="31"/>
        <v>MPK(Shunting Plan) Other</v>
      </c>
      <c r="D121" s="44" t="s">
        <v>280</v>
      </c>
      <c r="E121" s="44">
        <f t="shared" si="25"/>
        <v>0</v>
      </c>
      <c r="F121" s="44">
        <f t="shared" si="26"/>
        <v>0</v>
      </c>
      <c r="G121" s="44">
        <f t="shared" si="27"/>
        <v>0</v>
      </c>
      <c r="H121" s="163">
        <v>1</v>
      </c>
      <c r="I121" s="44">
        <f t="shared" si="28"/>
        <v>0</v>
      </c>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row>
    <row r="122" spans="1:49" ht="15" customHeight="1" x14ac:dyDescent="0.35">
      <c r="A122" s="44" t="s">
        <v>12</v>
      </c>
      <c r="B122" s="44"/>
      <c r="C122" s="190" t="s">
        <v>116</v>
      </c>
      <c r="D122" s="44"/>
      <c r="E122" s="44">
        <f t="shared" si="25"/>
        <v>0</v>
      </c>
      <c r="F122" s="44">
        <f t="shared" si="26"/>
        <v>0</v>
      </c>
      <c r="G122" s="44">
        <f t="shared" si="27"/>
        <v>0</v>
      </c>
      <c r="H122" s="163">
        <v>1</v>
      </c>
      <c r="I122" s="44">
        <f t="shared" si="28"/>
        <v>0</v>
      </c>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row>
    <row r="123" spans="1:49" ht="15" customHeight="1" x14ac:dyDescent="0.35">
      <c r="A123" s="44" t="s">
        <v>12</v>
      </c>
      <c r="B123" s="44"/>
      <c r="C123" s="44" t="str">
        <f>$C$122&amp;" "&amp;D123</f>
        <v>Bridge Diag. &amp; Log Connector System</v>
      </c>
      <c r="D123" s="44" t="s">
        <v>198</v>
      </c>
      <c r="E123" s="44">
        <f t="shared" si="25"/>
        <v>0</v>
      </c>
      <c r="F123" s="44">
        <f t="shared" si="26"/>
        <v>0</v>
      </c>
      <c r="G123" s="44">
        <f t="shared" si="27"/>
        <v>0</v>
      </c>
      <c r="H123" s="163">
        <v>1</v>
      </c>
      <c r="I123" s="44">
        <f t="shared" si="28"/>
        <v>0</v>
      </c>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row>
    <row r="124" spans="1:49" ht="15" customHeight="1" x14ac:dyDescent="0.35">
      <c r="A124" s="44" t="s">
        <v>12</v>
      </c>
      <c r="B124" s="44"/>
      <c r="C124" s="44" t="str">
        <f t="shared" ref="C124:C128" si="32">$C$122&amp;" "&amp;D124</f>
        <v>Bridge Diag. &amp; Log Connector Core Development</v>
      </c>
      <c r="D124" s="44" t="s">
        <v>459</v>
      </c>
      <c r="E124" s="44">
        <f t="shared" si="25"/>
        <v>0</v>
      </c>
      <c r="F124" s="44">
        <f t="shared" si="26"/>
        <v>0</v>
      </c>
      <c r="G124" s="44">
        <f t="shared" si="27"/>
        <v>0</v>
      </c>
      <c r="H124" s="163">
        <v>1</v>
      </c>
      <c r="I124" s="44">
        <f t="shared" si="28"/>
        <v>0</v>
      </c>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row>
    <row r="125" spans="1:49" ht="15" customHeight="1" x14ac:dyDescent="0.35">
      <c r="A125" s="44" t="s">
        <v>12</v>
      </c>
      <c r="B125" s="44"/>
      <c r="C125" s="44" t="str">
        <f t="shared" si="32"/>
        <v>Bridge Diag. &amp; Log Connector HMI Development</v>
      </c>
      <c r="D125" s="44" t="s">
        <v>227</v>
      </c>
      <c r="E125" s="44">
        <f t="shared" si="25"/>
        <v>0</v>
      </c>
      <c r="F125" s="44">
        <f t="shared" si="26"/>
        <v>0</v>
      </c>
      <c r="G125" s="44">
        <f t="shared" si="27"/>
        <v>0</v>
      </c>
      <c r="H125" s="163">
        <v>1</v>
      </c>
      <c r="I125" s="44">
        <f t="shared" si="28"/>
        <v>0</v>
      </c>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row>
    <row r="126" spans="1:49" ht="15" customHeight="1" x14ac:dyDescent="0.35">
      <c r="A126" s="44" t="s">
        <v>12</v>
      </c>
      <c r="B126" s="44"/>
      <c r="C126" s="44" t="str">
        <f t="shared" si="32"/>
        <v>Bridge Diag. &amp; Log Connector DataPrep</v>
      </c>
      <c r="D126" s="44" t="s">
        <v>279</v>
      </c>
      <c r="E126" s="44">
        <f t="shared" si="25"/>
        <v>0</v>
      </c>
      <c r="F126" s="44">
        <f t="shared" si="26"/>
        <v>0</v>
      </c>
      <c r="G126" s="44">
        <f t="shared" si="27"/>
        <v>0</v>
      </c>
      <c r="H126" s="163">
        <v>1</v>
      </c>
      <c r="I126" s="44">
        <f t="shared" si="28"/>
        <v>0</v>
      </c>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row>
    <row r="127" spans="1:49" ht="15" customHeight="1" x14ac:dyDescent="0.35">
      <c r="A127" s="44" t="s">
        <v>12</v>
      </c>
      <c r="B127" s="44"/>
      <c r="C127" s="44" t="str">
        <f t="shared" si="32"/>
        <v>Bridge Diag. &amp; Log Connector V&amp;V</v>
      </c>
      <c r="D127" s="44" t="s">
        <v>278</v>
      </c>
      <c r="E127" s="44">
        <f t="shared" si="25"/>
        <v>0</v>
      </c>
      <c r="F127" s="44">
        <f t="shared" si="26"/>
        <v>0</v>
      </c>
      <c r="G127" s="44">
        <f t="shared" si="27"/>
        <v>0</v>
      </c>
      <c r="H127" s="163">
        <v>1</v>
      </c>
      <c r="I127" s="44">
        <f t="shared" si="28"/>
        <v>0</v>
      </c>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row>
    <row r="128" spans="1:49" ht="15" customHeight="1" x14ac:dyDescent="0.35">
      <c r="A128" s="44" t="s">
        <v>12</v>
      </c>
      <c r="B128" s="44"/>
      <c r="C128" s="44" t="str">
        <f t="shared" si="32"/>
        <v>Bridge Diag. &amp; Log Connector Other</v>
      </c>
      <c r="D128" s="44" t="s">
        <v>280</v>
      </c>
      <c r="E128" s="44">
        <f t="shared" si="25"/>
        <v>0</v>
      </c>
      <c r="F128" s="44">
        <f t="shared" si="26"/>
        <v>0</v>
      </c>
      <c r="G128" s="44">
        <f t="shared" si="27"/>
        <v>0</v>
      </c>
      <c r="H128" s="163">
        <v>1</v>
      </c>
      <c r="I128" s="44">
        <f t="shared" si="28"/>
        <v>0</v>
      </c>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row>
    <row r="129" spans="1:49" ht="15" customHeight="1" x14ac:dyDescent="0.35">
      <c r="A129" s="44" t="s">
        <v>12</v>
      </c>
      <c r="B129" s="44"/>
      <c r="C129" s="190" t="s">
        <v>123</v>
      </c>
      <c r="D129" s="44"/>
      <c r="E129" s="44">
        <f t="shared" si="25"/>
        <v>0</v>
      </c>
      <c r="F129" s="44">
        <f t="shared" si="26"/>
        <v>0</v>
      </c>
      <c r="G129" s="44">
        <f t="shared" si="27"/>
        <v>0</v>
      </c>
      <c r="H129" s="163">
        <v>1</v>
      </c>
      <c r="I129" s="44">
        <f t="shared" si="28"/>
        <v>0</v>
      </c>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row>
    <row r="130" spans="1:49" ht="15" customHeight="1" x14ac:dyDescent="0.35">
      <c r="A130" s="44" t="s">
        <v>12</v>
      </c>
      <c r="B130" s="44"/>
      <c r="C130" s="44" t="str">
        <f>$C$129&amp;" "&amp;D130</f>
        <v>BC merged in the main branch System</v>
      </c>
      <c r="D130" s="44" t="s">
        <v>198</v>
      </c>
      <c r="E130" s="44">
        <f t="shared" si="25"/>
        <v>0</v>
      </c>
      <c r="F130" s="44">
        <f t="shared" si="26"/>
        <v>0</v>
      </c>
      <c r="G130" s="44">
        <f t="shared" si="27"/>
        <v>0</v>
      </c>
      <c r="H130" s="163">
        <v>1</v>
      </c>
      <c r="I130" s="44">
        <f t="shared" si="28"/>
        <v>0</v>
      </c>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row>
    <row r="131" spans="1:49" ht="15" customHeight="1" x14ac:dyDescent="0.35">
      <c r="A131" s="44" t="s">
        <v>12</v>
      </c>
      <c r="B131" s="44"/>
      <c r="C131" s="44" t="str">
        <f t="shared" ref="C131:C135" si="33">$C$129&amp;" "&amp;D131</f>
        <v>BC merged in the main branch Core Development</v>
      </c>
      <c r="D131" s="44" t="s">
        <v>459</v>
      </c>
      <c r="E131" s="44">
        <f t="shared" ref="E131:E149" si="34">G131*160</f>
        <v>0</v>
      </c>
      <c r="F131" s="44">
        <f t="shared" ref="F131:F149" si="35">E131/8</f>
        <v>0</v>
      </c>
      <c r="G131" s="44">
        <f t="shared" ref="G131:G149" si="36">COUNTIF(K131:AT131, "-")*H131</f>
        <v>0</v>
      </c>
      <c r="H131" s="163">
        <v>1</v>
      </c>
      <c r="I131" s="44">
        <f t="shared" ref="I131:I149" si="37">E131*54</f>
        <v>0</v>
      </c>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row>
    <row r="132" spans="1:49" ht="15" customHeight="1" x14ac:dyDescent="0.35">
      <c r="A132" s="44" t="s">
        <v>12</v>
      </c>
      <c r="B132" s="44"/>
      <c r="C132" s="44" t="str">
        <f t="shared" si="33"/>
        <v>BC merged in the main branch HMI Development</v>
      </c>
      <c r="D132" s="44" t="s">
        <v>227</v>
      </c>
      <c r="E132" s="44">
        <f t="shared" si="34"/>
        <v>0</v>
      </c>
      <c r="F132" s="44">
        <f t="shared" si="35"/>
        <v>0</v>
      </c>
      <c r="G132" s="44">
        <f t="shared" si="36"/>
        <v>0</v>
      </c>
      <c r="H132" s="163">
        <v>1</v>
      </c>
      <c r="I132" s="44">
        <f t="shared" si="37"/>
        <v>0</v>
      </c>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row>
    <row r="133" spans="1:49" ht="15" customHeight="1" x14ac:dyDescent="0.35">
      <c r="A133" s="44" t="s">
        <v>12</v>
      </c>
      <c r="B133" s="44"/>
      <c r="C133" s="44" t="str">
        <f t="shared" si="33"/>
        <v>BC merged in the main branch DataPrep</v>
      </c>
      <c r="D133" s="44" t="s">
        <v>279</v>
      </c>
      <c r="E133" s="44">
        <f t="shared" si="34"/>
        <v>0</v>
      </c>
      <c r="F133" s="44">
        <f t="shared" si="35"/>
        <v>0</v>
      </c>
      <c r="G133" s="44">
        <f t="shared" si="36"/>
        <v>0</v>
      </c>
      <c r="H133" s="163">
        <v>1</v>
      </c>
      <c r="I133" s="44">
        <f t="shared" si="37"/>
        <v>0</v>
      </c>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row>
    <row r="134" spans="1:49" ht="15" customHeight="1" x14ac:dyDescent="0.35">
      <c r="A134" s="44" t="s">
        <v>12</v>
      </c>
      <c r="B134" s="44"/>
      <c r="C134" s="44" t="str">
        <f t="shared" si="33"/>
        <v>BC merged in the main branch V&amp;V</v>
      </c>
      <c r="D134" s="44" t="s">
        <v>278</v>
      </c>
      <c r="E134" s="44">
        <f t="shared" si="34"/>
        <v>0</v>
      </c>
      <c r="F134" s="44">
        <f t="shared" si="35"/>
        <v>0</v>
      </c>
      <c r="G134" s="44">
        <f t="shared" si="36"/>
        <v>0</v>
      </c>
      <c r="H134" s="163">
        <v>1</v>
      </c>
      <c r="I134" s="44">
        <f t="shared" si="37"/>
        <v>0</v>
      </c>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row>
    <row r="135" spans="1:49" ht="15" customHeight="1" x14ac:dyDescent="0.35">
      <c r="A135" s="44" t="s">
        <v>12</v>
      </c>
      <c r="B135" s="44"/>
      <c r="C135" s="44" t="str">
        <f t="shared" si="33"/>
        <v>BC merged in the main branch Other</v>
      </c>
      <c r="D135" s="44" t="s">
        <v>280</v>
      </c>
      <c r="E135" s="44">
        <f t="shared" si="34"/>
        <v>0</v>
      </c>
      <c r="F135" s="44">
        <f t="shared" si="35"/>
        <v>0</v>
      </c>
      <c r="G135" s="44">
        <f t="shared" si="36"/>
        <v>0</v>
      </c>
      <c r="H135" s="163">
        <v>1</v>
      </c>
      <c r="I135" s="44">
        <f t="shared" si="37"/>
        <v>0</v>
      </c>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row>
    <row r="136" spans="1:49" ht="15" customHeight="1" x14ac:dyDescent="0.35">
      <c r="A136" s="44" t="s">
        <v>12</v>
      </c>
      <c r="B136" s="44"/>
      <c r="C136" s="190" t="s">
        <v>125</v>
      </c>
      <c r="D136" s="44"/>
      <c r="E136" s="44">
        <f t="shared" si="34"/>
        <v>0</v>
      </c>
      <c r="F136" s="44">
        <f t="shared" si="35"/>
        <v>0</v>
      </c>
      <c r="G136" s="44">
        <f t="shared" si="36"/>
        <v>0</v>
      </c>
      <c r="H136" s="163">
        <v>1</v>
      </c>
      <c r="I136" s="44">
        <f t="shared" si="37"/>
        <v>0</v>
      </c>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row>
    <row r="137" spans="1:49" ht="15" customHeight="1" x14ac:dyDescent="0.35">
      <c r="A137" s="44" t="s">
        <v>12</v>
      </c>
      <c r="B137" s="44"/>
      <c r="C137" s="44" t="str">
        <f>$C$136&amp;" "&amp;D137</f>
        <v>BC Multi region  System</v>
      </c>
      <c r="D137" s="44" t="s">
        <v>198</v>
      </c>
      <c r="E137" s="44">
        <f t="shared" si="34"/>
        <v>0</v>
      </c>
      <c r="F137" s="44">
        <f t="shared" si="35"/>
        <v>0</v>
      </c>
      <c r="G137" s="44">
        <f t="shared" si="36"/>
        <v>0</v>
      </c>
      <c r="H137" s="163">
        <v>1</v>
      </c>
      <c r="I137" s="44">
        <f t="shared" si="37"/>
        <v>0</v>
      </c>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row>
    <row r="138" spans="1:49" ht="15" customHeight="1" x14ac:dyDescent="0.35">
      <c r="A138" s="44" t="s">
        <v>12</v>
      </c>
      <c r="B138" s="44"/>
      <c r="C138" s="44" t="str">
        <f t="shared" ref="C138:C142" si="38">$C$136&amp;" "&amp;D138</f>
        <v>BC Multi region  Core Development</v>
      </c>
      <c r="D138" s="44" t="s">
        <v>459</v>
      </c>
      <c r="E138" s="44">
        <f t="shared" si="34"/>
        <v>0</v>
      </c>
      <c r="F138" s="44">
        <f t="shared" si="35"/>
        <v>0</v>
      </c>
      <c r="G138" s="44">
        <f t="shared" si="36"/>
        <v>0</v>
      </c>
      <c r="H138" s="163">
        <v>1</v>
      </c>
      <c r="I138" s="44">
        <f t="shared" si="37"/>
        <v>0</v>
      </c>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row>
    <row r="139" spans="1:49" ht="15" customHeight="1" x14ac:dyDescent="0.35">
      <c r="A139" s="44" t="s">
        <v>12</v>
      </c>
      <c r="B139" s="44"/>
      <c r="C139" s="44" t="str">
        <f t="shared" si="38"/>
        <v>BC Multi region  HMI Development</v>
      </c>
      <c r="D139" s="44" t="s">
        <v>227</v>
      </c>
      <c r="E139" s="44">
        <f t="shared" si="34"/>
        <v>0</v>
      </c>
      <c r="F139" s="44">
        <f t="shared" si="35"/>
        <v>0</v>
      </c>
      <c r="G139" s="44">
        <f t="shared" si="36"/>
        <v>0</v>
      </c>
      <c r="H139" s="163">
        <v>1</v>
      </c>
      <c r="I139" s="44">
        <f t="shared" si="37"/>
        <v>0</v>
      </c>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row>
    <row r="140" spans="1:49" ht="15" customHeight="1" x14ac:dyDescent="0.35">
      <c r="A140" s="44" t="s">
        <v>12</v>
      </c>
      <c r="B140" s="44"/>
      <c r="C140" s="44" t="str">
        <f t="shared" si="38"/>
        <v>BC Multi region  DataPrep</v>
      </c>
      <c r="D140" s="44" t="s">
        <v>279</v>
      </c>
      <c r="E140" s="44">
        <f t="shared" si="34"/>
        <v>0</v>
      </c>
      <c r="F140" s="44">
        <f t="shared" si="35"/>
        <v>0</v>
      </c>
      <c r="G140" s="44">
        <f t="shared" si="36"/>
        <v>0</v>
      </c>
      <c r="H140" s="163">
        <v>1</v>
      </c>
      <c r="I140" s="44">
        <f t="shared" si="37"/>
        <v>0</v>
      </c>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row>
    <row r="141" spans="1:49" ht="15" customHeight="1" x14ac:dyDescent="0.35">
      <c r="A141" s="44" t="s">
        <v>12</v>
      </c>
      <c r="B141" s="44"/>
      <c r="C141" s="44" t="str">
        <f t="shared" si="38"/>
        <v>BC Multi region  V&amp;V</v>
      </c>
      <c r="D141" s="44" t="s">
        <v>278</v>
      </c>
      <c r="E141" s="44">
        <f t="shared" si="34"/>
        <v>0</v>
      </c>
      <c r="F141" s="44">
        <f t="shared" si="35"/>
        <v>0</v>
      </c>
      <c r="G141" s="44">
        <f t="shared" si="36"/>
        <v>0</v>
      </c>
      <c r="H141" s="163">
        <v>1</v>
      </c>
      <c r="I141" s="44">
        <f t="shared" si="37"/>
        <v>0</v>
      </c>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row>
    <row r="142" spans="1:49" ht="15" customHeight="1" x14ac:dyDescent="0.35">
      <c r="A142" s="44" t="s">
        <v>12</v>
      </c>
      <c r="B142" s="44"/>
      <c r="C142" s="44" t="str">
        <f t="shared" si="38"/>
        <v>BC Multi region  Other</v>
      </c>
      <c r="D142" s="44" t="s">
        <v>280</v>
      </c>
      <c r="E142" s="44">
        <f t="shared" si="34"/>
        <v>0</v>
      </c>
      <c r="F142" s="44">
        <f t="shared" si="35"/>
        <v>0</v>
      </c>
      <c r="G142" s="44">
        <f t="shared" si="36"/>
        <v>0</v>
      </c>
      <c r="H142" s="163">
        <v>1</v>
      </c>
      <c r="I142" s="44">
        <f t="shared" si="37"/>
        <v>0</v>
      </c>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row>
    <row r="143" spans="1:49" ht="15" customHeight="1" x14ac:dyDescent="0.35">
      <c r="A143" s="44" t="s">
        <v>12</v>
      </c>
      <c r="B143" s="44"/>
      <c r="C143" s="190" t="s">
        <v>275</v>
      </c>
      <c r="D143" s="44"/>
      <c r="E143" s="44">
        <f t="shared" si="34"/>
        <v>0</v>
      </c>
      <c r="F143" s="44">
        <f t="shared" si="35"/>
        <v>0</v>
      </c>
      <c r="G143" s="44">
        <f t="shared" si="36"/>
        <v>0</v>
      </c>
      <c r="H143" s="163">
        <v>1</v>
      </c>
      <c r="I143" s="44">
        <f t="shared" si="37"/>
        <v>0</v>
      </c>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row>
    <row r="144" spans="1:49" ht="15" customHeight="1" x14ac:dyDescent="0.35">
      <c r="A144" s="44" t="s">
        <v>12</v>
      </c>
      <c r="B144" s="44"/>
      <c r="C144" s="44" t="str">
        <f>$C$143&amp;" "&amp;D144</f>
        <v>Link Interactions technical offer TBC System</v>
      </c>
      <c r="D144" s="44" t="s">
        <v>198</v>
      </c>
      <c r="E144" s="44">
        <f t="shared" si="34"/>
        <v>0</v>
      </c>
      <c r="F144" s="44">
        <f t="shared" si="35"/>
        <v>0</v>
      </c>
      <c r="G144" s="44">
        <f t="shared" si="36"/>
        <v>0</v>
      </c>
      <c r="H144" s="163">
        <v>1</v>
      </c>
      <c r="I144" s="44">
        <f t="shared" si="37"/>
        <v>0</v>
      </c>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row>
    <row r="145" spans="1:49" ht="15" customHeight="1" x14ac:dyDescent="0.35">
      <c r="A145" s="44" t="s">
        <v>12</v>
      </c>
      <c r="B145" s="44"/>
      <c r="C145" s="44" t="str">
        <f t="shared" ref="C145:C149" si="39">$C$143&amp;" "&amp;D145</f>
        <v>Link Interactions technical offer TBC Core Development</v>
      </c>
      <c r="D145" s="44" t="s">
        <v>459</v>
      </c>
      <c r="E145" s="44">
        <f t="shared" si="34"/>
        <v>0</v>
      </c>
      <c r="F145" s="44">
        <f t="shared" si="35"/>
        <v>0</v>
      </c>
      <c r="G145" s="44">
        <f t="shared" si="36"/>
        <v>0</v>
      </c>
      <c r="H145" s="163">
        <v>1</v>
      </c>
      <c r="I145" s="44">
        <f t="shared" si="37"/>
        <v>0</v>
      </c>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row>
    <row r="146" spans="1:49" x14ac:dyDescent="0.35">
      <c r="A146" s="44" t="s">
        <v>12</v>
      </c>
      <c r="B146" s="44"/>
      <c r="C146" s="44" t="str">
        <f t="shared" si="39"/>
        <v>Link Interactions technical offer TBC HMI Development</v>
      </c>
      <c r="D146" s="44" t="s">
        <v>227</v>
      </c>
      <c r="E146" s="44">
        <f t="shared" si="34"/>
        <v>0</v>
      </c>
      <c r="F146" s="44">
        <f t="shared" si="35"/>
        <v>0</v>
      </c>
      <c r="G146" s="44">
        <f t="shared" si="36"/>
        <v>0</v>
      </c>
      <c r="H146" s="163">
        <v>1</v>
      </c>
      <c r="I146" s="44">
        <f t="shared" si="37"/>
        <v>0</v>
      </c>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row>
    <row r="147" spans="1:49" x14ac:dyDescent="0.35">
      <c r="A147" s="44" t="s">
        <v>12</v>
      </c>
      <c r="B147" s="44"/>
      <c r="C147" s="44" t="str">
        <f t="shared" si="39"/>
        <v>Link Interactions technical offer TBC DataPrep</v>
      </c>
      <c r="D147" s="44" t="s">
        <v>279</v>
      </c>
      <c r="E147" s="44">
        <f t="shared" si="34"/>
        <v>0</v>
      </c>
      <c r="F147" s="44">
        <f t="shared" si="35"/>
        <v>0</v>
      </c>
      <c r="G147" s="44">
        <f t="shared" si="36"/>
        <v>0</v>
      </c>
      <c r="H147" s="163">
        <v>1</v>
      </c>
      <c r="I147" s="44">
        <f t="shared" si="37"/>
        <v>0</v>
      </c>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row>
    <row r="148" spans="1:49" x14ac:dyDescent="0.35">
      <c r="A148" s="44" t="s">
        <v>12</v>
      </c>
      <c r="B148" s="44"/>
      <c r="C148" s="44" t="str">
        <f t="shared" si="39"/>
        <v>Link Interactions technical offer TBC V&amp;V</v>
      </c>
      <c r="D148" s="44" t="s">
        <v>278</v>
      </c>
      <c r="E148" s="44">
        <f t="shared" si="34"/>
        <v>0</v>
      </c>
      <c r="F148" s="44">
        <f t="shared" si="35"/>
        <v>0</v>
      </c>
      <c r="G148" s="44">
        <f t="shared" si="36"/>
        <v>0</v>
      </c>
      <c r="H148" s="163">
        <v>1</v>
      </c>
      <c r="I148" s="44">
        <f t="shared" si="37"/>
        <v>0</v>
      </c>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row>
    <row r="149" spans="1:49" x14ac:dyDescent="0.35">
      <c r="A149" s="44" t="s">
        <v>12</v>
      </c>
      <c r="B149" s="44"/>
      <c r="C149" s="44" t="str">
        <f t="shared" si="39"/>
        <v>Link Interactions technical offer TBC Other</v>
      </c>
      <c r="D149" s="44" t="s">
        <v>280</v>
      </c>
      <c r="E149" s="44">
        <f t="shared" si="34"/>
        <v>0</v>
      </c>
      <c r="F149" s="44">
        <f t="shared" si="35"/>
        <v>0</v>
      </c>
      <c r="G149" s="44">
        <f t="shared" si="36"/>
        <v>0</v>
      </c>
      <c r="H149" s="163">
        <v>1</v>
      </c>
      <c r="I149" s="44">
        <f t="shared" si="37"/>
        <v>0</v>
      </c>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row>
    <row r="150" spans="1:49" x14ac:dyDescent="0.35">
      <c r="A150" s="44"/>
      <c r="B150" s="44"/>
      <c r="C150" s="44"/>
      <c r="D150" s="44"/>
      <c r="E150" s="44"/>
      <c r="F150" s="44"/>
      <c r="G150" s="254" t="s">
        <v>483</v>
      </c>
      <c r="H150" s="254"/>
      <c r="I150" s="254"/>
      <c r="J150" s="44"/>
      <c r="K150" s="44">
        <f t="shared" ref="K150:AT150" si="40">SUMIF(K10:K149, "-",$H$10:$H$149)*160*54</f>
        <v>51840</v>
      </c>
      <c r="L150" s="44">
        <f t="shared" si="40"/>
        <v>51840</v>
      </c>
      <c r="M150" s="44">
        <f t="shared" si="40"/>
        <v>43200</v>
      </c>
      <c r="N150" s="44">
        <f t="shared" si="40"/>
        <v>138240</v>
      </c>
      <c r="O150" s="44">
        <f t="shared" si="40"/>
        <v>129600</v>
      </c>
      <c r="P150" s="44">
        <f t="shared" si="40"/>
        <v>129600</v>
      </c>
      <c r="Q150" s="44">
        <f t="shared" si="40"/>
        <v>129600</v>
      </c>
      <c r="R150" s="44">
        <f t="shared" si="40"/>
        <v>129600</v>
      </c>
      <c r="S150" s="44">
        <f t="shared" si="40"/>
        <v>129600</v>
      </c>
      <c r="T150" s="44">
        <f t="shared" si="40"/>
        <v>129600</v>
      </c>
      <c r="U150" s="44">
        <f t="shared" si="40"/>
        <v>129600</v>
      </c>
      <c r="V150" s="44">
        <f t="shared" si="40"/>
        <v>146880</v>
      </c>
      <c r="W150" s="44">
        <f t="shared" si="40"/>
        <v>120960</v>
      </c>
      <c r="X150" s="44">
        <f t="shared" si="40"/>
        <v>112320</v>
      </c>
      <c r="Y150" s="44">
        <f t="shared" si="40"/>
        <v>103680</v>
      </c>
      <c r="Z150" s="44">
        <f t="shared" si="40"/>
        <v>95040</v>
      </c>
      <c r="AA150" s="44">
        <f t="shared" si="40"/>
        <v>95040</v>
      </c>
      <c r="AB150" s="44">
        <f t="shared" si="40"/>
        <v>95040</v>
      </c>
      <c r="AC150" s="44">
        <f t="shared" si="40"/>
        <v>95040</v>
      </c>
      <c r="AD150" s="44">
        <f t="shared" si="40"/>
        <v>95040</v>
      </c>
      <c r="AE150" s="44">
        <f t="shared" si="40"/>
        <v>95040</v>
      </c>
      <c r="AF150" s="44">
        <f t="shared" si="40"/>
        <v>95040</v>
      </c>
      <c r="AG150" s="44">
        <f t="shared" si="40"/>
        <v>95040</v>
      </c>
      <c r="AH150" s="44">
        <f t="shared" si="40"/>
        <v>95040</v>
      </c>
      <c r="AI150" s="44">
        <f t="shared" si="40"/>
        <v>95040</v>
      </c>
      <c r="AJ150" s="44">
        <f t="shared" si="40"/>
        <v>95040</v>
      </c>
      <c r="AK150" s="44">
        <f t="shared" si="40"/>
        <v>95040</v>
      </c>
      <c r="AL150" s="44">
        <f t="shared" si="40"/>
        <v>95040</v>
      </c>
      <c r="AM150" s="44">
        <f t="shared" si="40"/>
        <v>95040</v>
      </c>
      <c r="AN150" s="44">
        <f t="shared" si="40"/>
        <v>95040</v>
      </c>
      <c r="AO150" s="44">
        <f t="shared" si="40"/>
        <v>95040</v>
      </c>
      <c r="AP150" s="44">
        <f t="shared" si="40"/>
        <v>95040</v>
      </c>
      <c r="AQ150" s="44">
        <f t="shared" si="40"/>
        <v>95040</v>
      </c>
      <c r="AR150" s="44">
        <f t="shared" si="40"/>
        <v>95040</v>
      </c>
      <c r="AS150" s="44">
        <f t="shared" si="40"/>
        <v>95040</v>
      </c>
      <c r="AT150" s="44">
        <f t="shared" si="40"/>
        <v>95040</v>
      </c>
      <c r="AU150" s="44"/>
      <c r="AV150" s="44"/>
      <c r="AW150" s="44"/>
    </row>
    <row r="151" spans="1:49" x14ac:dyDescent="0.35">
      <c r="G151" s="254" t="s">
        <v>484</v>
      </c>
      <c r="H151" s="254"/>
      <c r="I151" s="254"/>
    </row>
    <row r="152" spans="1:49" x14ac:dyDescent="0.35">
      <c r="G152" s="254" t="s">
        <v>485</v>
      </c>
      <c r="H152" s="254"/>
      <c r="I152" s="254"/>
    </row>
    <row r="153" spans="1:49" x14ac:dyDescent="0.35">
      <c r="G153" s="254" t="s">
        <v>486</v>
      </c>
      <c r="H153" s="254"/>
      <c r="I153" s="254"/>
    </row>
    <row r="154" spans="1:49" x14ac:dyDescent="0.35">
      <c r="G154" s="254" t="s">
        <v>487</v>
      </c>
      <c r="H154" s="254"/>
      <c r="I154" s="254"/>
    </row>
  </sheetData>
  <autoFilter ref="A9:I154" xr:uid="{1B17CABB-2067-4A9D-B77F-83D6A81785DD}"/>
  <mergeCells count="15">
    <mergeCell ref="G153:I153"/>
    <mergeCell ref="G154:I154"/>
    <mergeCell ref="K7:V7"/>
    <mergeCell ref="W7:AH7"/>
    <mergeCell ref="AI7:AQ7"/>
    <mergeCell ref="K8:M8"/>
    <mergeCell ref="N8:Y8"/>
    <mergeCell ref="Z8:AK8"/>
    <mergeCell ref="AL8:AQ8"/>
    <mergeCell ref="A7:I8"/>
    <mergeCell ref="AI14:AQ14"/>
    <mergeCell ref="W14:AH14"/>
    <mergeCell ref="G150:I150"/>
    <mergeCell ref="G151:I151"/>
    <mergeCell ref="G152:I152"/>
  </mergeCells>
  <conditionalFormatting sqref="E2:E6">
    <cfRule type="cellIs" dxfId="25" priority="2" operator="lessThan">
      <formula>0</formula>
    </cfRule>
  </conditionalFormatting>
  <conditionalFormatting sqref="E2:E6">
    <cfRule type="cellIs" dxfId="24" priority="1" operator="greaterThan">
      <formula>0</formula>
    </cfRule>
  </conditionalFormatting>
  <pageMargins left="0.7" right="0.7" top="0.75" bottom="0.75" header="0.3" footer="0.3"/>
  <pageSetup orientation="portrait" r:id="rId1"/>
  <headerFooter>
    <oddHeader>&amp;R&amp;"Calibri"&amp;14&amp;K71BF44 RESTRICTED&amp;1#_x000D_</oddHead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17B83EC-7359-4FC3-83C9-55A9CEED4390}">
          <x14:formula1>
            <xm:f>Menu!$C$1:$C$4</xm:f>
          </x14:formula1>
          <xm:sqref>A10:A44</xm:sqref>
        </x14:dataValidation>
        <x14:dataValidation type="list" allowBlank="1" showInputMessage="1" showErrorMessage="1" xr:uid="{33C0C5C6-C036-4447-8E13-DDC59645B83B}">
          <x14:formula1>
            <xm:f>Team!$C$2:$C$24</xm:f>
          </x14:formula1>
          <xm:sqref>B10:B149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C24ED-EDE7-42A0-98B0-AAC5B9E9FC01}">
  <sheetPr codeName="Sheet2"/>
  <dimension ref="A1:AT294"/>
  <sheetViews>
    <sheetView topLeftCell="A184" workbookViewId="0">
      <selection activeCell="C4" sqref="C4:C193"/>
    </sheetView>
  </sheetViews>
  <sheetFormatPr defaultRowHeight="14.5" x14ac:dyDescent="0.35"/>
  <cols>
    <col min="1" max="1" width="12" bestFit="1" customWidth="1"/>
    <col min="2" max="2" width="9" bestFit="1" customWidth="1"/>
    <col min="3" max="3" width="72.81640625" style="162" bestFit="1" customWidth="1"/>
    <col min="4" max="4" width="17.1796875" bestFit="1" customWidth="1"/>
    <col min="5" max="5" width="12.54296875" bestFit="1" customWidth="1"/>
    <col min="6" max="6" width="11.54296875" bestFit="1" customWidth="1"/>
    <col min="7" max="8" width="14.1796875" bestFit="1" customWidth="1"/>
    <col min="9" max="9" width="7.7265625" bestFit="1" customWidth="1"/>
    <col min="11" max="11" width="8.26953125" bestFit="1" customWidth="1"/>
    <col min="12" max="12" width="4.08984375" bestFit="1" customWidth="1"/>
    <col min="13" max="13" width="4.36328125" bestFit="1" customWidth="1"/>
    <col min="14" max="14" width="8.26953125" bestFit="1" customWidth="1"/>
    <col min="15" max="15" width="4.6328125" bestFit="1" customWidth="1"/>
    <col min="16" max="16" width="3.81640625" bestFit="1" customWidth="1"/>
    <col min="17" max="17" width="3.26953125" bestFit="1" customWidth="1"/>
    <col min="18" max="18" width="4.1796875" bestFit="1" customWidth="1"/>
    <col min="19" max="19" width="3.6328125" bestFit="1" customWidth="1"/>
    <col min="20" max="20" width="3.81640625" bestFit="1" customWidth="1"/>
    <col min="21" max="21" width="4.36328125" bestFit="1" customWidth="1"/>
    <col min="22" max="22" width="3.54296875" bestFit="1" customWidth="1"/>
    <col min="23" max="23" width="4.81640625" bestFit="1" customWidth="1"/>
    <col min="24" max="24" width="4.08984375" bestFit="1" customWidth="1"/>
    <col min="25" max="25" width="4.36328125" bestFit="1" customWidth="1"/>
    <col min="26" max="26" width="8.26953125" bestFit="1" customWidth="1"/>
    <col min="27" max="27" width="4.6328125" bestFit="1" customWidth="1"/>
    <col min="28" max="28" width="3.81640625" bestFit="1" customWidth="1"/>
    <col min="29" max="29" width="3.26953125" bestFit="1" customWidth="1"/>
    <col min="30" max="30" width="4.1796875" bestFit="1" customWidth="1"/>
    <col min="31" max="31" width="3.6328125" bestFit="1" customWidth="1"/>
    <col min="32" max="32" width="3.81640625" bestFit="1" customWidth="1"/>
    <col min="33" max="33" width="4.36328125" bestFit="1" customWidth="1"/>
    <col min="34" max="34" width="3.54296875" bestFit="1" customWidth="1"/>
    <col min="35" max="35" width="4.81640625" bestFit="1" customWidth="1"/>
    <col min="36" max="36" width="4.08984375" bestFit="1" customWidth="1"/>
    <col min="37" max="37" width="4.36328125" bestFit="1" customWidth="1"/>
    <col min="38" max="38" width="8.26953125" bestFit="1" customWidth="1"/>
    <col min="39" max="39" width="4.6328125" bestFit="1" customWidth="1"/>
    <col min="40" max="40" width="3.81640625" bestFit="1" customWidth="1"/>
    <col min="41" max="41" width="3.26953125" bestFit="1" customWidth="1"/>
    <col min="42" max="42" width="4.1796875" bestFit="1" customWidth="1"/>
    <col min="43" max="43" width="3.6328125" bestFit="1" customWidth="1"/>
    <col min="44" max="46" width="1.90625" bestFit="1" customWidth="1"/>
  </cols>
  <sheetData>
    <row r="1" spans="1:46" x14ac:dyDescent="0.35">
      <c r="A1" s="44"/>
      <c r="B1" s="44"/>
      <c r="C1" s="216"/>
      <c r="D1" s="44"/>
      <c r="E1" s="44"/>
      <c r="F1" s="44"/>
      <c r="G1" s="44"/>
      <c r="H1" s="44"/>
      <c r="I1" s="44"/>
      <c r="J1" s="44"/>
      <c r="K1" s="44">
        <v>2024</v>
      </c>
      <c r="L1" s="44"/>
      <c r="M1" s="44"/>
      <c r="N1" s="44"/>
      <c r="O1" s="44"/>
      <c r="P1" s="44"/>
      <c r="Q1" s="44"/>
      <c r="R1" s="44"/>
      <c r="S1" s="44"/>
      <c r="T1" s="44"/>
      <c r="U1" s="44"/>
      <c r="V1" s="44"/>
      <c r="W1" s="44">
        <v>2025</v>
      </c>
      <c r="X1" s="44"/>
      <c r="Y1" s="44"/>
      <c r="Z1" s="44"/>
      <c r="AA1" s="44"/>
      <c r="AB1" s="44"/>
      <c r="AC1" s="44"/>
      <c r="AD1" s="44"/>
      <c r="AE1" s="44"/>
      <c r="AF1" s="44"/>
      <c r="AG1" s="44"/>
      <c r="AH1" s="44"/>
      <c r="AI1" s="44">
        <v>2026</v>
      </c>
      <c r="AJ1" s="44"/>
      <c r="AK1" s="44"/>
      <c r="AL1" s="44"/>
      <c r="AM1" s="44"/>
      <c r="AN1" s="44"/>
      <c r="AO1" s="44"/>
      <c r="AP1" s="44"/>
      <c r="AQ1" s="44"/>
      <c r="AR1" s="44"/>
      <c r="AS1" s="44"/>
      <c r="AT1" s="44"/>
    </row>
    <row r="2" spans="1:46" ht="29" x14ac:dyDescent="0.35">
      <c r="A2" s="44"/>
      <c r="B2" s="44"/>
      <c r="C2" s="216"/>
      <c r="D2" s="44"/>
      <c r="E2" s="44"/>
      <c r="F2" s="44"/>
      <c r="G2" s="44"/>
      <c r="H2" s="44"/>
      <c r="I2" s="44"/>
      <c r="J2" s="44"/>
      <c r="K2" s="212" t="s">
        <v>387</v>
      </c>
      <c r="L2" s="212"/>
      <c r="M2" s="212"/>
      <c r="N2" s="213" t="s">
        <v>376</v>
      </c>
      <c r="O2" s="213"/>
      <c r="P2" s="213"/>
      <c r="Q2" s="213"/>
      <c r="R2" s="213"/>
      <c r="S2" s="213"/>
      <c r="T2" s="213"/>
      <c r="U2" s="213"/>
      <c r="V2" s="213"/>
      <c r="W2" s="213"/>
      <c r="X2" s="213"/>
      <c r="Y2" s="213"/>
      <c r="Z2" s="214" t="s">
        <v>377</v>
      </c>
      <c r="AA2" s="214"/>
      <c r="AB2" s="214"/>
      <c r="AC2" s="214"/>
      <c r="AD2" s="214"/>
      <c r="AE2" s="214"/>
      <c r="AF2" s="214"/>
      <c r="AG2" s="214"/>
      <c r="AH2" s="214"/>
      <c r="AI2" s="214"/>
      <c r="AJ2" s="214"/>
      <c r="AK2" s="214"/>
      <c r="AL2" s="215" t="s">
        <v>464</v>
      </c>
      <c r="AM2" s="215"/>
      <c r="AN2" s="215"/>
      <c r="AO2" s="215"/>
      <c r="AP2" s="215"/>
      <c r="AQ2" s="215"/>
      <c r="AR2" s="44"/>
      <c r="AS2" s="44"/>
      <c r="AT2" s="44"/>
    </row>
    <row r="3" spans="1:46" x14ac:dyDescent="0.35">
      <c r="A3" s="164" t="s">
        <v>444</v>
      </c>
      <c r="B3" s="164" t="s">
        <v>197</v>
      </c>
      <c r="C3" s="217" t="s">
        <v>190</v>
      </c>
      <c r="D3" s="164" t="s">
        <v>460</v>
      </c>
      <c r="E3" s="164" t="s">
        <v>431</v>
      </c>
      <c r="F3" s="164" t="s">
        <v>445</v>
      </c>
      <c r="G3" s="164" t="s">
        <v>446</v>
      </c>
      <c r="H3" s="164" t="s">
        <v>447</v>
      </c>
      <c r="I3" s="164" t="s">
        <v>448</v>
      </c>
      <c r="J3" s="44"/>
      <c r="K3" s="164" t="s">
        <v>209</v>
      </c>
      <c r="L3" s="164" t="s">
        <v>210</v>
      </c>
      <c r="M3" s="164" t="s">
        <v>211</v>
      </c>
      <c r="N3" s="164" t="s">
        <v>212</v>
      </c>
      <c r="O3" s="164" t="s">
        <v>216</v>
      </c>
      <c r="P3" s="164" t="s">
        <v>217</v>
      </c>
      <c r="Q3" s="164" t="s">
        <v>218</v>
      </c>
      <c r="R3" s="164" t="s">
        <v>219</v>
      </c>
      <c r="S3" s="164" t="s">
        <v>213</v>
      </c>
      <c r="T3" s="164" t="s">
        <v>220</v>
      </c>
      <c r="U3" s="164" t="s">
        <v>214</v>
      </c>
      <c r="V3" s="164" t="s">
        <v>215</v>
      </c>
      <c r="W3" s="164" t="s">
        <v>209</v>
      </c>
      <c r="X3" s="164" t="s">
        <v>210</v>
      </c>
      <c r="Y3" s="164" t="s">
        <v>211</v>
      </c>
      <c r="Z3" s="164" t="s">
        <v>212</v>
      </c>
      <c r="AA3" s="164" t="s">
        <v>216</v>
      </c>
      <c r="AB3" s="164" t="s">
        <v>217</v>
      </c>
      <c r="AC3" s="164" t="s">
        <v>218</v>
      </c>
      <c r="AD3" s="164" t="s">
        <v>219</v>
      </c>
      <c r="AE3" s="164" t="s">
        <v>213</v>
      </c>
      <c r="AF3" s="164" t="s">
        <v>220</v>
      </c>
      <c r="AG3" s="164" t="s">
        <v>214</v>
      </c>
      <c r="AH3" s="164" t="s">
        <v>215</v>
      </c>
      <c r="AI3" s="164" t="s">
        <v>209</v>
      </c>
      <c r="AJ3" s="164" t="s">
        <v>210</v>
      </c>
      <c r="AK3" s="164" t="s">
        <v>211</v>
      </c>
      <c r="AL3" s="164" t="s">
        <v>212</v>
      </c>
      <c r="AM3" s="164" t="s">
        <v>216</v>
      </c>
      <c r="AN3" s="164" t="s">
        <v>217</v>
      </c>
      <c r="AO3" s="164" t="s">
        <v>218</v>
      </c>
      <c r="AP3" s="164" t="s">
        <v>219</v>
      </c>
      <c r="AQ3" s="164" t="s">
        <v>213</v>
      </c>
      <c r="AR3" s="44"/>
      <c r="AS3" s="44"/>
      <c r="AT3" s="44"/>
    </row>
    <row r="4" spans="1:46" x14ac:dyDescent="0.35">
      <c r="A4" s="44" t="s">
        <v>23</v>
      </c>
      <c r="B4" s="44"/>
      <c r="C4" s="218" t="s">
        <v>24</v>
      </c>
      <c r="D4" s="44"/>
      <c r="E4" s="44">
        <f t="shared" ref="E4:E67" si="0">G4*160</f>
        <v>0</v>
      </c>
      <c r="F4" s="44">
        <f t="shared" ref="F4:F67" si="1">E4/8</f>
        <v>0</v>
      </c>
      <c r="G4" s="44">
        <f t="shared" ref="G4:G67" si="2">COUNTIF(K4:AT4, "-")*H4</f>
        <v>0</v>
      </c>
      <c r="H4" s="44">
        <v>1</v>
      </c>
      <c r="I4" s="44">
        <f t="shared" ref="I4:I67" si="3">E4*54</f>
        <v>0</v>
      </c>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row>
    <row r="5" spans="1:46" x14ac:dyDescent="0.35">
      <c r="A5" s="44" t="s">
        <v>23</v>
      </c>
      <c r="B5" s="44"/>
      <c r="C5" s="216" t="s">
        <v>496</v>
      </c>
      <c r="D5" s="44" t="s">
        <v>198</v>
      </c>
      <c r="E5" s="44">
        <f t="shared" si="0"/>
        <v>0</v>
      </c>
      <c r="F5" s="44">
        <f t="shared" si="1"/>
        <v>0</v>
      </c>
      <c r="G5" s="44">
        <f t="shared" si="2"/>
        <v>0</v>
      </c>
      <c r="H5" s="44">
        <v>1</v>
      </c>
      <c r="I5" s="44">
        <f t="shared" si="3"/>
        <v>0</v>
      </c>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row>
    <row r="6" spans="1:46" x14ac:dyDescent="0.35">
      <c r="A6" s="44" t="s">
        <v>23</v>
      </c>
      <c r="B6" s="44"/>
      <c r="C6" s="216" t="s">
        <v>497</v>
      </c>
      <c r="D6" s="44" t="s">
        <v>459</v>
      </c>
      <c r="E6" s="44">
        <f t="shared" si="0"/>
        <v>0</v>
      </c>
      <c r="F6" s="44">
        <f t="shared" si="1"/>
        <v>0</v>
      </c>
      <c r="G6" s="44">
        <f t="shared" si="2"/>
        <v>0</v>
      </c>
      <c r="H6" s="44">
        <v>1</v>
      </c>
      <c r="I6" s="44">
        <f t="shared" si="3"/>
        <v>0</v>
      </c>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row>
    <row r="7" spans="1:46" x14ac:dyDescent="0.35">
      <c r="A7" s="44" t="s">
        <v>23</v>
      </c>
      <c r="B7" s="44"/>
      <c r="C7" s="216" t="s">
        <v>498</v>
      </c>
      <c r="D7" s="44" t="s">
        <v>227</v>
      </c>
      <c r="E7" s="44">
        <f t="shared" si="0"/>
        <v>0</v>
      </c>
      <c r="F7" s="44">
        <f t="shared" si="1"/>
        <v>0</v>
      </c>
      <c r="G7" s="44">
        <f t="shared" si="2"/>
        <v>0</v>
      </c>
      <c r="H7" s="44">
        <v>1</v>
      </c>
      <c r="I7" s="44">
        <f t="shared" si="3"/>
        <v>0</v>
      </c>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row>
    <row r="8" spans="1:46" x14ac:dyDescent="0.35">
      <c r="A8" s="44" t="s">
        <v>23</v>
      </c>
      <c r="B8" s="44"/>
      <c r="C8" s="216" t="s">
        <v>499</v>
      </c>
      <c r="D8" s="44" t="s">
        <v>279</v>
      </c>
      <c r="E8" s="44">
        <f t="shared" si="0"/>
        <v>0</v>
      </c>
      <c r="F8" s="44">
        <f t="shared" si="1"/>
        <v>0</v>
      </c>
      <c r="G8" s="44">
        <f t="shared" si="2"/>
        <v>0</v>
      </c>
      <c r="H8" s="44">
        <v>1</v>
      </c>
      <c r="I8" s="44">
        <f t="shared" si="3"/>
        <v>0</v>
      </c>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row>
    <row r="9" spans="1:46" x14ac:dyDescent="0.35">
      <c r="A9" s="44" t="s">
        <v>23</v>
      </c>
      <c r="B9" s="44"/>
      <c r="C9" s="216" t="s">
        <v>500</v>
      </c>
      <c r="D9" s="44" t="s">
        <v>278</v>
      </c>
      <c r="E9" s="44">
        <f t="shared" si="0"/>
        <v>0</v>
      </c>
      <c r="F9" s="44">
        <f t="shared" si="1"/>
        <v>0</v>
      </c>
      <c r="G9" s="44">
        <f t="shared" si="2"/>
        <v>0</v>
      </c>
      <c r="H9" s="44">
        <v>1</v>
      </c>
      <c r="I9" s="44">
        <f t="shared" si="3"/>
        <v>0</v>
      </c>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row>
    <row r="10" spans="1:46" x14ac:dyDescent="0.35">
      <c r="A10" s="44" t="s">
        <v>23</v>
      </c>
      <c r="B10" s="44"/>
      <c r="C10" s="216" t="s">
        <v>501</v>
      </c>
      <c r="D10" s="44" t="s">
        <v>280</v>
      </c>
      <c r="E10" s="44">
        <f t="shared" si="0"/>
        <v>0</v>
      </c>
      <c r="F10" s="44">
        <f t="shared" si="1"/>
        <v>0</v>
      </c>
      <c r="G10" s="44">
        <f t="shared" si="2"/>
        <v>0</v>
      </c>
      <c r="H10" s="44">
        <v>1</v>
      </c>
      <c r="I10" s="44">
        <f t="shared" si="3"/>
        <v>0</v>
      </c>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row>
    <row r="11" spans="1:46" x14ac:dyDescent="0.35">
      <c r="A11" s="44" t="s">
        <v>23</v>
      </c>
      <c r="B11" s="44"/>
      <c r="C11" s="218" t="s">
        <v>461</v>
      </c>
      <c r="D11" s="44"/>
      <c r="E11" s="44">
        <f t="shared" si="0"/>
        <v>0</v>
      </c>
      <c r="F11" s="44">
        <f t="shared" si="1"/>
        <v>0</v>
      </c>
      <c r="G11" s="44">
        <f t="shared" si="2"/>
        <v>0</v>
      </c>
      <c r="H11" s="44">
        <v>1</v>
      </c>
      <c r="I11" s="44">
        <f t="shared" si="3"/>
        <v>0</v>
      </c>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row>
    <row r="12" spans="1:46" x14ac:dyDescent="0.35">
      <c r="A12" s="44" t="s">
        <v>23</v>
      </c>
      <c r="B12" s="44"/>
      <c r="C12" s="216" t="s">
        <v>502</v>
      </c>
      <c r="D12" s="44" t="s">
        <v>198</v>
      </c>
      <c r="E12" s="44">
        <f t="shared" si="0"/>
        <v>0</v>
      </c>
      <c r="F12" s="44">
        <f t="shared" si="1"/>
        <v>0</v>
      </c>
      <c r="G12" s="44">
        <f t="shared" si="2"/>
        <v>0</v>
      </c>
      <c r="H12" s="44">
        <v>1</v>
      </c>
      <c r="I12" s="44">
        <f t="shared" si="3"/>
        <v>0</v>
      </c>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row>
    <row r="13" spans="1:46" x14ac:dyDescent="0.35">
      <c r="A13" s="44" t="s">
        <v>23</v>
      </c>
      <c r="B13" s="44"/>
      <c r="C13" s="216" t="s">
        <v>503</v>
      </c>
      <c r="D13" s="44" t="s">
        <v>459</v>
      </c>
      <c r="E13" s="44">
        <f t="shared" si="0"/>
        <v>0</v>
      </c>
      <c r="F13" s="44">
        <f t="shared" si="1"/>
        <v>0</v>
      </c>
      <c r="G13" s="44">
        <f t="shared" si="2"/>
        <v>0</v>
      </c>
      <c r="H13" s="44">
        <v>1</v>
      </c>
      <c r="I13" s="44">
        <f t="shared" si="3"/>
        <v>0</v>
      </c>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row>
    <row r="14" spans="1:46" x14ac:dyDescent="0.35">
      <c r="A14" s="44" t="s">
        <v>23</v>
      </c>
      <c r="B14" s="44"/>
      <c r="C14" s="216" t="s">
        <v>504</v>
      </c>
      <c r="D14" s="44" t="s">
        <v>227</v>
      </c>
      <c r="E14" s="44">
        <f t="shared" si="0"/>
        <v>0</v>
      </c>
      <c r="F14" s="44">
        <f t="shared" si="1"/>
        <v>0</v>
      </c>
      <c r="G14" s="44">
        <f t="shared" si="2"/>
        <v>0</v>
      </c>
      <c r="H14" s="44">
        <v>1</v>
      </c>
      <c r="I14" s="44">
        <f t="shared" si="3"/>
        <v>0</v>
      </c>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row>
    <row r="15" spans="1:46" x14ac:dyDescent="0.35">
      <c r="A15" s="44" t="s">
        <v>23</v>
      </c>
      <c r="B15" s="44"/>
      <c r="C15" s="216" t="s">
        <v>505</v>
      </c>
      <c r="D15" s="44" t="s">
        <v>279</v>
      </c>
      <c r="E15" s="44">
        <f t="shared" si="0"/>
        <v>0</v>
      </c>
      <c r="F15" s="44">
        <f t="shared" si="1"/>
        <v>0</v>
      </c>
      <c r="G15" s="44">
        <f t="shared" si="2"/>
        <v>0</v>
      </c>
      <c r="H15" s="44">
        <v>1</v>
      </c>
      <c r="I15" s="44">
        <f t="shared" si="3"/>
        <v>0</v>
      </c>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row>
    <row r="16" spans="1:46" x14ac:dyDescent="0.35">
      <c r="A16" s="44" t="s">
        <v>23</v>
      </c>
      <c r="B16" s="44"/>
      <c r="C16" s="216" t="s">
        <v>506</v>
      </c>
      <c r="D16" s="44" t="s">
        <v>278</v>
      </c>
      <c r="E16" s="44">
        <f t="shared" si="0"/>
        <v>0</v>
      </c>
      <c r="F16" s="44">
        <f t="shared" si="1"/>
        <v>0</v>
      </c>
      <c r="G16" s="44">
        <f t="shared" si="2"/>
        <v>0</v>
      </c>
      <c r="H16" s="44">
        <v>1</v>
      </c>
      <c r="I16" s="44">
        <f t="shared" si="3"/>
        <v>0</v>
      </c>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row>
    <row r="17" spans="1:46" x14ac:dyDescent="0.35">
      <c r="A17" s="44" t="s">
        <v>23</v>
      </c>
      <c r="B17" s="44"/>
      <c r="C17" s="216" t="s">
        <v>507</v>
      </c>
      <c r="D17" s="44" t="s">
        <v>280</v>
      </c>
      <c r="E17" s="44">
        <f t="shared" si="0"/>
        <v>0</v>
      </c>
      <c r="F17" s="44">
        <f t="shared" si="1"/>
        <v>0</v>
      </c>
      <c r="G17" s="44">
        <f t="shared" si="2"/>
        <v>0</v>
      </c>
      <c r="H17" s="44">
        <v>1</v>
      </c>
      <c r="I17" s="44">
        <f t="shared" si="3"/>
        <v>0</v>
      </c>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row>
    <row r="18" spans="1:46" x14ac:dyDescent="0.35">
      <c r="A18" s="44" t="s">
        <v>23</v>
      </c>
      <c r="B18" s="44"/>
      <c r="C18" s="218" t="s">
        <v>388</v>
      </c>
      <c r="D18" s="44"/>
      <c r="E18" s="44">
        <f t="shared" si="0"/>
        <v>0</v>
      </c>
      <c r="F18" s="44">
        <f t="shared" si="1"/>
        <v>0</v>
      </c>
      <c r="G18" s="44">
        <f t="shared" si="2"/>
        <v>0</v>
      </c>
      <c r="H18" s="44">
        <v>1</v>
      </c>
      <c r="I18" s="44">
        <f t="shared" si="3"/>
        <v>0</v>
      </c>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row>
    <row r="19" spans="1:46" x14ac:dyDescent="0.35">
      <c r="A19" s="44" t="s">
        <v>23</v>
      </c>
      <c r="B19" s="44"/>
      <c r="C19" s="216" t="s">
        <v>508</v>
      </c>
      <c r="D19" s="44" t="s">
        <v>198</v>
      </c>
      <c r="E19" s="44">
        <f t="shared" si="0"/>
        <v>0</v>
      </c>
      <c r="F19" s="44">
        <f t="shared" si="1"/>
        <v>0</v>
      </c>
      <c r="G19" s="44">
        <f t="shared" si="2"/>
        <v>0</v>
      </c>
      <c r="H19" s="44">
        <v>1</v>
      </c>
      <c r="I19" s="44">
        <f t="shared" si="3"/>
        <v>0</v>
      </c>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row>
    <row r="20" spans="1:46" x14ac:dyDescent="0.35">
      <c r="A20" s="44" t="s">
        <v>23</v>
      </c>
      <c r="B20" s="44"/>
      <c r="C20" s="216" t="s">
        <v>509</v>
      </c>
      <c r="D20" s="44" t="s">
        <v>459</v>
      </c>
      <c r="E20" s="44">
        <f t="shared" si="0"/>
        <v>0</v>
      </c>
      <c r="F20" s="44">
        <f t="shared" si="1"/>
        <v>0</v>
      </c>
      <c r="G20" s="44">
        <f t="shared" si="2"/>
        <v>0</v>
      </c>
      <c r="H20" s="44">
        <v>1</v>
      </c>
      <c r="I20" s="44">
        <f t="shared" si="3"/>
        <v>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row>
    <row r="21" spans="1:46" x14ac:dyDescent="0.35">
      <c r="A21" s="44" t="s">
        <v>23</v>
      </c>
      <c r="B21" s="44"/>
      <c r="C21" s="216" t="s">
        <v>510</v>
      </c>
      <c r="D21" s="44" t="s">
        <v>227</v>
      </c>
      <c r="E21" s="44">
        <f t="shared" si="0"/>
        <v>0</v>
      </c>
      <c r="F21" s="44">
        <f t="shared" si="1"/>
        <v>0</v>
      </c>
      <c r="G21" s="44">
        <f t="shared" si="2"/>
        <v>0</v>
      </c>
      <c r="H21" s="44">
        <v>1</v>
      </c>
      <c r="I21" s="44">
        <f t="shared" si="3"/>
        <v>0</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row>
    <row r="22" spans="1:46" x14ac:dyDescent="0.35">
      <c r="A22" s="44" t="s">
        <v>23</v>
      </c>
      <c r="B22" s="44"/>
      <c r="C22" s="216" t="s">
        <v>511</v>
      </c>
      <c r="D22" s="44" t="s">
        <v>279</v>
      </c>
      <c r="E22" s="44">
        <f t="shared" si="0"/>
        <v>0</v>
      </c>
      <c r="F22" s="44">
        <f t="shared" si="1"/>
        <v>0</v>
      </c>
      <c r="G22" s="44">
        <f t="shared" si="2"/>
        <v>0</v>
      </c>
      <c r="H22" s="44">
        <v>1</v>
      </c>
      <c r="I22" s="44">
        <f t="shared" si="3"/>
        <v>0</v>
      </c>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row>
    <row r="23" spans="1:46" x14ac:dyDescent="0.35">
      <c r="A23" s="44" t="s">
        <v>23</v>
      </c>
      <c r="B23" s="44"/>
      <c r="C23" s="216" t="s">
        <v>512</v>
      </c>
      <c r="D23" s="44" t="s">
        <v>278</v>
      </c>
      <c r="E23" s="44">
        <f t="shared" si="0"/>
        <v>0</v>
      </c>
      <c r="F23" s="44">
        <f t="shared" si="1"/>
        <v>0</v>
      </c>
      <c r="G23" s="44">
        <f t="shared" si="2"/>
        <v>0</v>
      </c>
      <c r="H23" s="44">
        <v>1</v>
      </c>
      <c r="I23" s="44">
        <f t="shared" si="3"/>
        <v>0</v>
      </c>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row>
    <row r="24" spans="1:46" x14ac:dyDescent="0.35">
      <c r="A24" s="44" t="s">
        <v>23</v>
      </c>
      <c r="B24" s="44"/>
      <c r="C24" s="216" t="s">
        <v>513</v>
      </c>
      <c r="D24" s="44" t="s">
        <v>280</v>
      </c>
      <c r="E24" s="44">
        <f t="shared" si="0"/>
        <v>0</v>
      </c>
      <c r="F24" s="44">
        <f t="shared" si="1"/>
        <v>0</v>
      </c>
      <c r="G24" s="44">
        <f t="shared" si="2"/>
        <v>0</v>
      </c>
      <c r="H24" s="44">
        <v>1</v>
      </c>
      <c r="I24" s="44">
        <f t="shared" si="3"/>
        <v>0</v>
      </c>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row>
    <row r="25" spans="1:46" x14ac:dyDescent="0.35">
      <c r="A25" s="44" t="s">
        <v>23</v>
      </c>
      <c r="B25" s="44"/>
      <c r="C25" s="218" t="s">
        <v>44</v>
      </c>
      <c r="D25" s="44"/>
      <c r="E25" s="44">
        <f t="shared" si="0"/>
        <v>0</v>
      </c>
      <c r="F25" s="44">
        <f t="shared" si="1"/>
        <v>0</v>
      </c>
      <c r="G25" s="44">
        <f t="shared" si="2"/>
        <v>0</v>
      </c>
      <c r="H25" s="44">
        <v>1</v>
      </c>
      <c r="I25" s="44">
        <f t="shared" si="3"/>
        <v>0</v>
      </c>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row>
    <row r="26" spans="1:46" x14ac:dyDescent="0.35">
      <c r="A26" s="44" t="s">
        <v>23</v>
      </c>
      <c r="B26" s="44"/>
      <c r="C26" s="216" t="s">
        <v>514</v>
      </c>
      <c r="D26" s="44" t="s">
        <v>198</v>
      </c>
      <c r="E26" s="44">
        <f t="shared" si="0"/>
        <v>0</v>
      </c>
      <c r="F26" s="44">
        <f t="shared" si="1"/>
        <v>0</v>
      </c>
      <c r="G26" s="44">
        <f t="shared" si="2"/>
        <v>0</v>
      </c>
      <c r="H26" s="44">
        <v>1</v>
      </c>
      <c r="I26" s="44">
        <f t="shared" si="3"/>
        <v>0</v>
      </c>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row>
    <row r="27" spans="1:46" x14ac:dyDescent="0.35">
      <c r="A27" s="44" t="s">
        <v>23</v>
      </c>
      <c r="B27" s="44"/>
      <c r="C27" s="216" t="s">
        <v>515</v>
      </c>
      <c r="D27" s="44" t="s">
        <v>459</v>
      </c>
      <c r="E27" s="44">
        <f t="shared" si="0"/>
        <v>0</v>
      </c>
      <c r="F27" s="44">
        <f t="shared" si="1"/>
        <v>0</v>
      </c>
      <c r="G27" s="44">
        <f t="shared" si="2"/>
        <v>0</v>
      </c>
      <c r="H27" s="44">
        <v>1</v>
      </c>
      <c r="I27" s="44">
        <f t="shared" si="3"/>
        <v>0</v>
      </c>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row>
    <row r="28" spans="1:46" x14ac:dyDescent="0.35">
      <c r="A28" s="44" t="s">
        <v>23</v>
      </c>
      <c r="B28" s="44"/>
      <c r="C28" s="216" t="s">
        <v>516</v>
      </c>
      <c r="D28" s="44" t="s">
        <v>227</v>
      </c>
      <c r="E28" s="44">
        <f t="shared" si="0"/>
        <v>0</v>
      </c>
      <c r="F28" s="44">
        <f t="shared" si="1"/>
        <v>0</v>
      </c>
      <c r="G28" s="44">
        <f t="shared" si="2"/>
        <v>0</v>
      </c>
      <c r="H28" s="44">
        <v>1</v>
      </c>
      <c r="I28" s="44">
        <f t="shared" si="3"/>
        <v>0</v>
      </c>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row>
    <row r="29" spans="1:46" x14ac:dyDescent="0.35">
      <c r="A29" s="44" t="s">
        <v>23</v>
      </c>
      <c r="B29" s="44"/>
      <c r="C29" s="216" t="s">
        <v>517</v>
      </c>
      <c r="D29" s="44" t="s">
        <v>279</v>
      </c>
      <c r="E29" s="44">
        <f t="shared" si="0"/>
        <v>0</v>
      </c>
      <c r="F29" s="44">
        <f t="shared" si="1"/>
        <v>0</v>
      </c>
      <c r="G29" s="44">
        <f t="shared" si="2"/>
        <v>0</v>
      </c>
      <c r="H29" s="44">
        <v>1</v>
      </c>
      <c r="I29" s="44">
        <f t="shared" si="3"/>
        <v>0</v>
      </c>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row>
    <row r="30" spans="1:46" x14ac:dyDescent="0.35">
      <c r="A30" s="44" t="s">
        <v>23</v>
      </c>
      <c r="B30" s="44"/>
      <c r="C30" s="216" t="s">
        <v>518</v>
      </c>
      <c r="D30" s="44" t="s">
        <v>278</v>
      </c>
      <c r="E30" s="44">
        <f t="shared" si="0"/>
        <v>0</v>
      </c>
      <c r="F30" s="44">
        <f t="shared" si="1"/>
        <v>0</v>
      </c>
      <c r="G30" s="44">
        <f t="shared" si="2"/>
        <v>0</v>
      </c>
      <c r="H30" s="44">
        <v>1</v>
      </c>
      <c r="I30" s="44">
        <f t="shared" si="3"/>
        <v>0</v>
      </c>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row>
    <row r="31" spans="1:46" x14ac:dyDescent="0.35">
      <c r="A31" s="44" t="s">
        <v>23</v>
      </c>
      <c r="B31" s="44"/>
      <c r="C31" s="216" t="s">
        <v>519</v>
      </c>
      <c r="D31" s="44" t="s">
        <v>280</v>
      </c>
      <c r="E31" s="44">
        <f t="shared" si="0"/>
        <v>0</v>
      </c>
      <c r="F31" s="44">
        <f t="shared" si="1"/>
        <v>0</v>
      </c>
      <c r="G31" s="44">
        <f t="shared" si="2"/>
        <v>0</v>
      </c>
      <c r="H31" s="44">
        <v>1</v>
      </c>
      <c r="I31" s="44">
        <f t="shared" si="3"/>
        <v>0</v>
      </c>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row>
    <row r="32" spans="1:46" x14ac:dyDescent="0.35">
      <c r="A32" s="44" t="s">
        <v>23</v>
      </c>
      <c r="B32" s="44"/>
      <c r="C32" s="218" t="s">
        <v>47</v>
      </c>
      <c r="D32" s="44"/>
      <c r="E32" s="44">
        <f t="shared" si="0"/>
        <v>0</v>
      </c>
      <c r="F32" s="44">
        <f t="shared" si="1"/>
        <v>0</v>
      </c>
      <c r="G32" s="44">
        <f t="shared" si="2"/>
        <v>0</v>
      </c>
      <c r="H32" s="44">
        <v>1</v>
      </c>
      <c r="I32" s="44">
        <f t="shared" si="3"/>
        <v>0</v>
      </c>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row>
    <row r="33" spans="1:46" x14ac:dyDescent="0.35">
      <c r="A33" s="44" t="s">
        <v>23</v>
      </c>
      <c r="B33" s="44"/>
      <c r="C33" s="216" t="s">
        <v>520</v>
      </c>
      <c r="D33" s="44" t="s">
        <v>198</v>
      </c>
      <c r="E33" s="44">
        <f t="shared" si="0"/>
        <v>0</v>
      </c>
      <c r="F33" s="44">
        <f t="shared" si="1"/>
        <v>0</v>
      </c>
      <c r="G33" s="44">
        <f t="shared" si="2"/>
        <v>0</v>
      </c>
      <c r="H33" s="44">
        <v>1</v>
      </c>
      <c r="I33" s="44">
        <f t="shared" si="3"/>
        <v>0</v>
      </c>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row>
    <row r="34" spans="1:46" x14ac:dyDescent="0.35">
      <c r="A34" s="44" t="s">
        <v>23</v>
      </c>
      <c r="B34" s="44"/>
      <c r="C34" s="216" t="s">
        <v>521</v>
      </c>
      <c r="D34" s="44" t="s">
        <v>459</v>
      </c>
      <c r="E34" s="44">
        <f t="shared" si="0"/>
        <v>0</v>
      </c>
      <c r="F34" s="44">
        <f t="shared" si="1"/>
        <v>0</v>
      </c>
      <c r="G34" s="44">
        <f t="shared" si="2"/>
        <v>0</v>
      </c>
      <c r="H34" s="44">
        <v>1</v>
      </c>
      <c r="I34" s="44">
        <f t="shared" si="3"/>
        <v>0</v>
      </c>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row>
    <row r="35" spans="1:46" x14ac:dyDescent="0.35">
      <c r="A35" s="44" t="s">
        <v>23</v>
      </c>
      <c r="B35" s="44"/>
      <c r="C35" s="216" t="s">
        <v>522</v>
      </c>
      <c r="D35" s="44" t="s">
        <v>227</v>
      </c>
      <c r="E35" s="44">
        <f t="shared" si="0"/>
        <v>0</v>
      </c>
      <c r="F35" s="44">
        <f t="shared" si="1"/>
        <v>0</v>
      </c>
      <c r="G35" s="44">
        <f t="shared" si="2"/>
        <v>0</v>
      </c>
      <c r="H35" s="44">
        <v>1</v>
      </c>
      <c r="I35" s="44">
        <f t="shared" si="3"/>
        <v>0</v>
      </c>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row>
    <row r="36" spans="1:46" x14ac:dyDescent="0.35">
      <c r="A36" s="44" t="s">
        <v>23</v>
      </c>
      <c r="B36" s="44"/>
      <c r="C36" s="216" t="s">
        <v>523</v>
      </c>
      <c r="D36" s="44" t="s">
        <v>279</v>
      </c>
      <c r="E36" s="44">
        <f t="shared" si="0"/>
        <v>0</v>
      </c>
      <c r="F36" s="44">
        <f t="shared" si="1"/>
        <v>0</v>
      </c>
      <c r="G36" s="44">
        <f t="shared" si="2"/>
        <v>0</v>
      </c>
      <c r="H36" s="44">
        <v>1</v>
      </c>
      <c r="I36" s="44">
        <f t="shared" si="3"/>
        <v>0</v>
      </c>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row>
    <row r="37" spans="1:46" x14ac:dyDescent="0.35">
      <c r="A37" s="44" t="s">
        <v>23</v>
      </c>
      <c r="B37" s="44"/>
      <c r="C37" s="216" t="s">
        <v>524</v>
      </c>
      <c r="D37" s="44" t="s">
        <v>278</v>
      </c>
      <c r="E37" s="44">
        <f t="shared" si="0"/>
        <v>0</v>
      </c>
      <c r="F37" s="44">
        <f t="shared" si="1"/>
        <v>0</v>
      </c>
      <c r="G37" s="44">
        <f t="shared" si="2"/>
        <v>0</v>
      </c>
      <c r="H37" s="44">
        <v>1</v>
      </c>
      <c r="I37" s="44">
        <f t="shared" si="3"/>
        <v>0</v>
      </c>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row>
    <row r="38" spans="1:46" x14ac:dyDescent="0.35">
      <c r="A38" s="44" t="s">
        <v>23</v>
      </c>
      <c r="B38" s="44"/>
      <c r="C38" s="216" t="s">
        <v>525</v>
      </c>
      <c r="D38" s="44" t="s">
        <v>280</v>
      </c>
      <c r="E38" s="44">
        <f t="shared" si="0"/>
        <v>0</v>
      </c>
      <c r="F38" s="44">
        <f t="shared" si="1"/>
        <v>0</v>
      </c>
      <c r="G38" s="44">
        <f t="shared" si="2"/>
        <v>0</v>
      </c>
      <c r="H38" s="44">
        <v>1</v>
      </c>
      <c r="I38" s="44">
        <f t="shared" si="3"/>
        <v>0</v>
      </c>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row>
    <row r="39" spans="1:46" x14ac:dyDescent="0.35">
      <c r="A39" s="44" t="s">
        <v>23</v>
      </c>
      <c r="B39" s="44"/>
      <c r="C39" s="218" t="s">
        <v>49</v>
      </c>
      <c r="D39" s="44"/>
      <c r="E39" s="44">
        <f t="shared" si="0"/>
        <v>0</v>
      </c>
      <c r="F39" s="44">
        <f t="shared" si="1"/>
        <v>0</v>
      </c>
      <c r="G39" s="44">
        <f t="shared" si="2"/>
        <v>0</v>
      </c>
      <c r="H39" s="44">
        <v>1</v>
      </c>
      <c r="I39" s="44">
        <f t="shared" si="3"/>
        <v>0</v>
      </c>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row>
    <row r="40" spans="1:46" x14ac:dyDescent="0.35">
      <c r="A40" s="44" t="s">
        <v>23</v>
      </c>
      <c r="B40" s="44"/>
      <c r="C40" s="216" t="s">
        <v>526</v>
      </c>
      <c r="D40" s="44" t="s">
        <v>198</v>
      </c>
      <c r="E40" s="44">
        <f t="shared" si="0"/>
        <v>0</v>
      </c>
      <c r="F40" s="44">
        <f t="shared" si="1"/>
        <v>0</v>
      </c>
      <c r="G40" s="44">
        <f t="shared" si="2"/>
        <v>0</v>
      </c>
      <c r="H40" s="44">
        <v>1</v>
      </c>
      <c r="I40" s="44">
        <f t="shared" si="3"/>
        <v>0</v>
      </c>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row>
    <row r="41" spans="1:46" x14ac:dyDescent="0.35">
      <c r="A41" s="44" t="s">
        <v>23</v>
      </c>
      <c r="B41" s="44"/>
      <c r="C41" s="216" t="s">
        <v>527</v>
      </c>
      <c r="D41" s="44" t="s">
        <v>459</v>
      </c>
      <c r="E41" s="44">
        <f t="shared" si="0"/>
        <v>0</v>
      </c>
      <c r="F41" s="44">
        <f t="shared" si="1"/>
        <v>0</v>
      </c>
      <c r="G41" s="44">
        <f t="shared" si="2"/>
        <v>0</v>
      </c>
      <c r="H41" s="44">
        <v>1</v>
      </c>
      <c r="I41" s="44">
        <f t="shared" si="3"/>
        <v>0</v>
      </c>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row>
    <row r="42" spans="1:46" x14ac:dyDescent="0.35">
      <c r="A42" s="44" t="s">
        <v>23</v>
      </c>
      <c r="B42" s="44"/>
      <c r="C42" s="216" t="s">
        <v>528</v>
      </c>
      <c r="D42" s="44" t="s">
        <v>227</v>
      </c>
      <c r="E42" s="44">
        <f t="shared" si="0"/>
        <v>0</v>
      </c>
      <c r="F42" s="44">
        <f t="shared" si="1"/>
        <v>0</v>
      </c>
      <c r="G42" s="44">
        <f t="shared" si="2"/>
        <v>0</v>
      </c>
      <c r="H42" s="44">
        <v>1</v>
      </c>
      <c r="I42" s="44">
        <f t="shared" si="3"/>
        <v>0</v>
      </c>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row>
    <row r="43" spans="1:46" x14ac:dyDescent="0.35">
      <c r="A43" s="44" t="s">
        <v>23</v>
      </c>
      <c r="B43" s="44"/>
      <c r="C43" s="216" t="s">
        <v>529</v>
      </c>
      <c r="D43" s="44" t="s">
        <v>279</v>
      </c>
      <c r="E43" s="44">
        <f t="shared" si="0"/>
        <v>0</v>
      </c>
      <c r="F43" s="44">
        <f t="shared" si="1"/>
        <v>0</v>
      </c>
      <c r="G43" s="44">
        <f t="shared" si="2"/>
        <v>0</v>
      </c>
      <c r="H43" s="44">
        <v>1</v>
      </c>
      <c r="I43" s="44">
        <f t="shared" si="3"/>
        <v>0</v>
      </c>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row>
    <row r="44" spans="1:46" x14ac:dyDescent="0.35">
      <c r="A44" s="44" t="s">
        <v>23</v>
      </c>
      <c r="B44" s="44"/>
      <c r="C44" s="216" t="s">
        <v>530</v>
      </c>
      <c r="D44" s="44" t="s">
        <v>278</v>
      </c>
      <c r="E44" s="44">
        <f t="shared" si="0"/>
        <v>0</v>
      </c>
      <c r="F44" s="44">
        <f t="shared" si="1"/>
        <v>0</v>
      </c>
      <c r="G44" s="44">
        <f t="shared" si="2"/>
        <v>0</v>
      </c>
      <c r="H44" s="44">
        <v>1</v>
      </c>
      <c r="I44" s="44">
        <f t="shared" si="3"/>
        <v>0</v>
      </c>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row>
    <row r="45" spans="1:46" x14ac:dyDescent="0.35">
      <c r="A45" s="44" t="s">
        <v>23</v>
      </c>
      <c r="B45" s="44"/>
      <c r="C45" s="216" t="s">
        <v>531</v>
      </c>
      <c r="D45" s="44" t="s">
        <v>280</v>
      </c>
      <c r="E45" s="44">
        <f t="shared" si="0"/>
        <v>0</v>
      </c>
      <c r="F45" s="44">
        <f t="shared" si="1"/>
        <v>0</v>
      </c>
      <c r="G45" s="44">
        <f t="shared" si="2"/>
        <v>0</v>
      </c>
      <c r="H45" s="44">
        <v>1</v>
      </c>
      <c r="I45" s="44">
        <f t="shared" si="3"/>
        <v>0</v>
      </c>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row>
    <row r="46" spans="1:46" x14ac:dyDescent="0.35">
      <c r="A46" s="44" t="s">
        <v>12</v>
      </c>
      <c r="B46" s="44"/>
      <c r="C46" s="218" t="s">
        <v>308</v>
      </c>
      <c r="D46" s="44"/>
      <c r="E46" s="44">
        <f t="shared" si="0"/>
        <v>0</v>
      </c>
      <c r="F46" s="44">
        <f t="shared" si="1"/>
        <v>0</v>
      </c>
      <c r="G46" s="44">
        <f t="shared" si="2"/>
        <v>0</v>
      </c>
      <c r="H46" s="44">
        <v>1</v>
      </c>
      <c r="I46" s="44">
        <f t="shared" si="3"/>
        <v>0</v>
      </c>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row>
    <row r="47" spans="1:46" x14ac:dyDescent="0.35">
      <c r="A47" s="44" t="s">
        <v>12</v>
      </c>
      <c r="B47" s="44"/>
      <c r="C47" s="216" t="s">
        <v>532</v>
      </c>
      <c r="D47" s="44" t="s">
        <v>198</v>
      </c>
      <c r="E47" s="44">
        <f t="shared" si="0"/>
        <v>0</v>
      </c>
      <c r="F47" s="44">
        <f t="shared" si="1"/>
        <v>0</v>
      </c>
      <c r="G47" s="44">
        <f t="shared" si="2"/>
        <v>0</v>
      </c>
      <c r="H47" s="44">
        <v>1</v>
      </c>
      <c r="I47" s="44">
        <f t="shared" si="3"/>
        <v>0</v>
      </c>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row>
    <row r="48" spans="1:46" x14ac:dyDescent="0.35">
      <c r="A48" s="44" t="s">
        <v>12</v>
      </c>
      <c r="B48" s="44"/>
      <c r="C48" s="216" t="s">
        <v>533</v>
      </c>
      <c r="D48" s="44" t="s">
        <v>459</v>
      </c>
      <c r="E48" s="44">
        <f t="shared" si="0"/>
        <v>0</v>
      </c>
      <c r="F48" s="44">
        <f t="shared" si="1"/>
        <v>0</v>
      </c>
      <c r="G48" s="44">
        <f t="shared" si="2"/>
        <v>0</v>
      </c>
      <c r="H48" s="44">
        <v>1</v>
      </c>
      <c r="I48" s="44">
        <f t="shared" si="3"/>
        <v>0</v>
      </c>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row>
    <row r="49" spans="1:46" x14ac:dyDescent="0.35">
      <c r="A49" s="44" t="s">
        <v>12</v>
      </c>
      <c r="B49" s="44"/>
      <c r="C49" s="216" t="s">
        <v>534</v>
      </c>
      <c r="D49" s="44" t="s">
        <v>227</v>
      </c>
      <c r="E49" s="44">
        <f t="shared" si="0"/>
        <v>0</v>
      </c>
      <c r="F49" s="44">
        <f t="shared" si="1"/>
        <v>0</v>
      </c>
      <c r="G49" s="44">
        <f t="shared" si="2"/>
        <v>0</v>
      </c>
      <c r="H49" s="44">
        <v>1</v>
      </c>
      <c r="I49" s="44">
        <f t="shared" si="3"/>
        <v>0</v>
      </c>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row>
    <row r="50" spans="1:46" x14ac:dyDescent="0.35">
      <c r="A50" s="44" t="s">
        <v>12</v>
      </c>
      <c r="B50" s="44"/>
      <c r="C50" s="216" t="s">
        <v>535</v>
      </c>
      <c r="D50" s="44" t="s">
        <v>279</v>
      </c>
      <c r="E50" s="44">
        <f t="shared" si="0"/>
        <v>0</v>
      </c>
      <c r="F50" s="44">
        <f t="shared" si="1"/>
        <v>0</v>
      </c>
      <c r="G50" s="44">
        <f t="shared" si="2"/>
        <v>0</v>
      </c>
      <c r="H50" s="44">
        <v>1</v>
      </c>
      <c r="I50" s="44">
        <f t="shared" si="3"/>
        <v>0</v>
      </c>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row>
    <row r="51" spans="1:46" x14ac:dyDescent="0.35">
      <c r="A51" s="44" t="s">
        <v>12</v>
      </c>
      <c r="B51" s="44"/>
      <c r="C51" s="216" t="s">
        <v>536</v>
      </c>
      <c r="D51" s="44" t="s">
        <v>278</v>
      </c>
      <c r="E51" s="44">
        <f t="shared" si="0"/>
        <v>0</v>
      </c>
      <c r="F51" s="44">
        <f t="shared" si="1"/>
        <v>0</v>
      </c>
      <c r="G51" s="44">
        <f t="shared" si="2"/>
        <v>0</v>
      </c>
      <c r="H51" s="44">
        <v>1</v>
      </c>
      <c r="I51" s="44">
        <f t="shared" si="3"/>
        <v>0</v>
      </c>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row>
    <row r="52" spans="1:46" x14ac:dyDescent="0.35">
      <c r="A52" s="44" t="s">
        <v>12</v>
      </c>
      <c r="B52" s="44"/>
      <c r="C52" s="216" t="s">
        <v>537</v>
      </c>
      <c r="D52" s="44" t="s">
        <v>280</v>
      </c>
      <c r="E52" s="44">
        <f t="shared" si="0"/>
        <v>0</v>
      </c>
      <c r="F52" s="44">
        <f t="shared" si="1"/>
        <v>0</v>
      </c>
      <c r="G52" s="44">
        <f t="shared" si="2"/>
        <v>0</v>
      </c>
      <c r="H52" s="44">
        <v>1</v>
      </c>
      <c r="I52" s="44">
        <f t="shared" si="3"/>
        <v>0</v>
      </c>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row>
    <row r="53" spans="1:46" ht="29" x14ac:dyDescent="0.35">
      <c r="A53" s="44" t="s">
        <v>12</v>
      </c>
      <c r="B53" s="44"/>
      <c r="C53" s="218" t="s">
        <v>295</v>
      </c>
      <c r="D53" s="44"/>
      <c r="E53" s="44">
        <f t="shared" si="0"/>
        <v>0</v>
      </c>
      <c r="F53" s="44">
        <f t="shared" si="1"/>
        <v>0</v>
      </c>
      <c r="G53" s="44">
        <f t="shared" si="2"/>
        <v>0</v>
      </c>
      <c r="H53" s="44">
        <v>1</v>
      </c>
      <c r="I53" s="44">
        <f t="shared" si="3"/>
        <v>0</v>
      </c>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row>
    <row r="54" spans="1:46" ht="29" x14ac:dyDescent="0.35">
      <c r="A54" s="44" t="s">
        <v>12</v>
      </c>
      <c r="B54" s="44"/>
      <c r="C54" s="216" t="s">
        <v>538</v>
      </c>
      <c r="D54" s="44" t="s">
        <v>198</v>
      </c>
      <c r="E54" s="44">
        <f t="shared" si="0"/>
        <v>0</v>
      </c>
      <c r="F54" s="44">
        <f t="shared" si="1"/>
        <v>0</v>
      </c>
      <c r="G54" s="44">
        <f t="shared" si="2"/>
        <v>0</v>
      </c>
      <c r="H54" s="44">
        <v>1</v>
      </c>
      <c r="I54" s="44">
        <f t="shared" si="3"/>
        <v>0</v>
      </c>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row>
    <row r="55" spans="1:46" ht="29" x14ac:dyDescent="0.35">
      <c r="A55" s="44" t="s">
        <v>12</v>
      </c>
      <c r="B55" s="44"/>
      <c r="C55" s="216" t="s">
        <v>539</v>
      </c>
      <c r="D55" s="44" t="s">
        <v>459</v>
      </c>
      <c r="E55" s="44">
        <f t="shared" si="0"/>
        <v>0</v>
      </c>
      <c r="F55" s="44">
        <f t="shared" si="1"/>
        <v>0</v>
      </c>
      <c r="G55" s="44">
        <f t="shared" si="2"/>
        <v>0</v>
      </c>
      <c r="H55" s="44">
        <v>1</v>
      </c>
      <c r="I55" s="44">
        <f t="shared" si="3"/>
        <v>0</v>
      </c>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row>
    <row r="56" spans="1:46" ht="29" x14ac:dyDescent="0.35">
      <c r="A56" s="44" t="s">
        <v>12</v>
      </c>
      <c r="B56" s="44"/>
      <c r="C56" s="216" t="s">
        <v>540</v>
      </c>
      <c r="D56" s="44" t="s">
        <v>227</v>
      </c>
      <c r="E56" s="44">
        <f t="shared" si="0"/>
        <v>0</v>
      </c>
      <c r="F56" s="44">
        <f t="shared" si="1"/>
        <v>0</v>
      </c>
      <c r="G56" s="44">
        <f t="shared" si="2"/>
        <v>0</v>
      </c>
      <c r="H56" s="44">
        <v>1</v>
      </c>
      <c r="I56" s="44">
        <f t="shared" si="3"/>
        <v>0</v>
      </c>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row>
    <row r="57" spans="1:46" ht="29" x14ac:dyDescent="0.35">
      <c r="A57" s="44" t="s">
        <v>12</v>
      </c>
      <c r="B57" s="44"/>
      <c r="C57" s="216" t="s">
        <v>541</v>
      </c>
      <c r="D57" s="44" t="s">
        <v>279</v>
      </c>
      <c r="E57" s="44">
        <f t="shared" si="0"/>
        <v>0</v>
      </c>
      <c r="F57" s="44">
        <f t="shared" si="1"/>
        <v>0</v>
      </c>
      <c r="G57" s="44">
        <f t="shared" si="2"/>
        <v>0</v>
      </c>
      <c r="H57" s="44">
        <v>1</v>
      </c>
      <c r="I57" s="44">
        <f t="shared" si="3"/>
        <v>0</v>
      </c>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row>
    <row r="58" spans="1:46" ht="29" x14ac:dyDescent="0.35">
      <c r="A58" s="44" t="s">
        <v>12</v>
      </c>
      <c r="B58" s="44"/>
      <c r="C58" s="216" t="s">
        <v>542</v>
      </c>
      <c r="D58" s="44" t="s">
        <v>278</v>
      </c>
      <c r="E58" s="44">
        <f t="shared" si="0"/>
        <v>0</v>
      </c>
      <c r="F58" s="44">
        <f t="shared" si="1"/>
        <v>0</v>
      </c>
      <c r="G58" s="44">
        <f t="shared" si="2"/>
        <v>0</v>
      </c>
      <c r="H58" s="44">
        <v>1</v>
      </c>
      <c r="I58" s="44">
        <f t="shared" si="3"/>
        <v>0</v>
      </c>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row>
    <row r="59" spans="1:46" ht="29" x14ac:dyDescent="0.35">
      <c r="A59" s="44" t="s">
        <v>12</v>
      </c>
      <c r="B59" s="44"/>
      <c r="C59" s="216" t="s">
        <v>543</v>
      </c>
      <c r="D59" s="44" t="s">
        <v>280</v>
      </c>
      <c r="E59" s="44">
        <f t="shared" si="0"/>
        <v>0</v>
      </c>
      <c r="F59" s="44">
        <f t="shared" si="1"/>
        <v>0</v>
      </c>
      <c r="G59" s="44">
        <f t="shared" si="2"/>
        <v>0</v>
      </c>
      <c r="H59" s="44">
        <v>1</v>
      </c>
      <c r="I59" s="44">
        <f t="shared" si="3"/>
        <v>0</v>
      </c>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row>
    <row r="60" spans="1:46" x14ac:dyDescent="0.35">
      <c r="A60" s="44" t="s">
        <v>12</v>
      </c>
      <c r="B60" s="44"/>
      <c r="C60" s="218" t="s">
        <v>63</v>
      </c>
      <c r="D60" s="44"/>
      <c r="E60" s="44">
        <f t="shared" si="0"/>
        <v>0</v>
      </c>
      <c r="F60" s="44">
        <f t="shared" si="1"/>
        <v>0</v>
      </c>
      <c r="G60" s="44">
        <f t="shared" si="2"/>
        <v>0</v>
      </c>
      <c r="H60" s="44">
        <v>1</v>
      </c>
      <c r="I60" s="44">
        <f t="shared" si="3"/>
        <v>0</v>
      </c>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row>
    <row r="61" spans="1:46" x14ac:dyDescent="0.35">
      <c r="A61" s="44" t="s">
        <v>12</v>
      </c>
      <c r="B61" s="44"/>
      <c r="C61" s="216" t="s">
        <v>544</v>
      </c>
      <c r="D61" s="44" t="s">
        <v>198</v>
      </c>
      <c r="E61" s="44">
        <f t="shared" si="0"/>
        <v>0</v>
      </c>
      <c r="F61" s="44">
        <f t="shared" si="1"/>
        <v>0</v>
      </c>
      <c r="G61" s="44">
        <f t="shared" si="2"/>
        <v>0</v>
      </c>
      <c r="H61" s="44">
        <v>1</v>
      </c>
      <c r="I61" s="44">
        <f t="shared" si="3"/>
        <v>0</v>
      </c>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row>
    <row r="62" spans="1:46" x14ac:dyDescent="0.35">
      <c r="A62" s="44" t="s">
        <v>12</v>
      </c>
      <c r="B62" s="44"/>
      <c r="C62" s="216" t="s">
        <v>545</v>
      </c>
      <c r="D62" s="44" t="s">
        <v>459</v>
      </c>
      <c r="E62" s="44">
        <f t="shared" si="0"/>
        <v>0</v>
      </c>
      <c r="F62" s="44">
        <f t="shared" si="1"/>
        <v>0</v>
      </c>
      <c r="G62" s="44">
        <f t="shared" si="2"/>
        <v>0</v>
      </c>
      <c r="H62" s="44">
        <v>1</v>
      </c>
      <c r="I62" s="44">
        <f t="shared" si="3"/>
        <v>0</v>
      </c>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row>
    <row r="63" spans="1:46" x14ac:dyDescent="0.35">
      <c r="A63" s="44" t="s">
        <v>12</v>
      </c>
      <c r="B63" s="44"/>
      <c r="C63" s="216" t="s">
        <v>546</v>
      </c>
      <c r="D63" s="44" t="s">
        <v>227</v>
      </c>
      <c r="E63" s="44">
        <f t="shared" si="0"/>
        <v>0</v>
      </c>
      <c r="F63" s="44">
        <f t="shared" si="1"/>
        <v>0</v>
      </c>
      <c r="G63" s="44">
        <f t="shared" si="2"/>
        <v>0</v>
      </c>
      <c r="H63" s="44">
        <v>1</v>
      </c>
      <c r="I63" s="44">
        <f t="shared" si="3"/>
        <v>0</v>
      </c>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row>
    <row r="64" spans="1:46" x14ac:dyDescent="0.35">
      <c r="A64" s="44" t="s">
        <v>12</v>
      </c>
      <c r="B64" s="44"/>
      <c r="C64" s="216" t="s">
        <v>547</v>
      </c>
      <c r="D64" s="44" t="s">
        <v>279</v>
      </c>
      <c r="E64" s="44">
        <f t="shared" si="0"/>
        <v>0</v>
      </c>
      <c r="F64" s="44">
        <f t="shared" si="1"/>
        <v>0</v>
      </c>
      <c r="G64" s="44">
        <f t="shared" si="2"/>
        <v>0</v>
      </c>
      <c r="H64" s="44">
        <v>1</v>
      </c>
      <c r="I64" s="44">
        <f t="shared" si="3"/>
        <v>0</v>
      </c>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row>
    <row r="65" spans="1:46" x14ac:dyDescent="0.35">
      <c r="A65" s="44" t="s">
        <v>12</v>
      </c>
      <c r="B65" s="44"/>
      <c r="C65" s="216" t="s">
        <v>548</v>
      </c>
      <c r="D65" s="44" t="s">
        <v>278</v>
      </c>
      <c r="E65" s="44">
        <f t="shared" si="0"/>
        <v>0</v>
      </c>
      <c r="F65" s="44">
        <f t="shared" si="1"/>
        <v>0</v>
      </c>
      <c r="G65" s="44">
        <f t="shared" si="2"/>
        <v>0</v>
      </c>
      <c r="H65" s="44">
        <v>1</v>
      </c>
      <c r="I65" s="44">
        <f t="shared" si="3"/>
        <v>0</v>
      </c>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row>
    <row r="66" spans="1:46" x14ac:dyDescent="0.35">
      <c r="A66" s="44" t="s">
        <v>12</v>
      </c>
      <c r="B66" s="44"/>
      <c r="C66" s="216" t="s">
        <v>549</v>
      </c>
      <c r="D66" s="44" t="s">
        <v>280</v>
      </c>
      <c r="E66" s="44">
        <f t="shared" si="0"/>
        <v>0</v>
      </c>
      <c r="F66" s="44">
        <f t="shared" si="1"/>
        <v>0</v>
      </c>
      <c r="G66" s="44">
        <f t="shared" si="2"/>
        <v>0</v>
      </c>
      <c r="H66" s="44">
        <v>1</v>
      </c>
      <c r="I66" s="44">
        <f t="shared" si="3"/>
        <v>0</v>
      </c>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row>
    <row r="67" spans="1:46" x14ac:dyDescent="0.35">
      <c r="A67" s="44" t="s">
        <v>12</v>
      </c>
      <c r="B67" s="44"/>
      <c r="C67" s="218" t="s">
        <v>65</v>
      </c>
      <c r="D67" s="44"/>
      <c r="E67" s="44">
        <f t="shared" si="0"/>
        <v>0</v>
      </c>
      <c r="F67" s="44">
        <f t="shared" si="1"/>
        <v>0</v>
      </c>
      <c r="G67" s="44">
        <f t="shared" si="2"/>
        <v>0</v>
      </c>
      <c r="H67" s="44">
        <v>1</v>
      </c>
      <c r="I67" s="44">
        <f t="shared" si="3"/>
        <v>0</v>
      </c>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row>
    <row r="68" spans="1:46" x14ac:dyDescent="0.35">
      <c r="A68" s="44" t="s">
        <v>12</v>
      </c>
      <c r="B68" s="44"/>
      <c r="C68" s="216" t="s">
        <v>550</v>
      </c>
      <c r="D68" s="44" t="s">
        <v>198</v>
      </c>
      <c r="E68" s="44">
        <f t="shared" ref="E68:E131" si="4">G68*160</f>
        <v>0</v>
      </c>
      <c r="F68" s="44">
        <f t="shared" ref="F68:F131" si="5">E68/8</f>
        <v>0</v>
      </c>
      <c r="G68" s="44">
        <f t="shared" ref="G68:G131" si="6">COUNTIF(K68:AT68, "-")*H68</f>
        <v>0</v>
      </c>
      <c r="H68" s="44">
        <v>1</v>
      </c>
      <c r="I68" s="44">
        <f t="shared" ref="I68:I131" si="7">E68*54</f>
        <v>0</v>
      </c>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row>
    <row r="69" spans="1:46" x14ac:dyDescent="0.35">
      <c r="A69" s="44" t="s">
        <v>12</v>
      </c>
      <c r="B69" s="44"/>
      <c r="C69" s="216" t="s">
        <v>551</v>
      </c>
      <c r="D69" s="44" t="s">
        <v>459</v>
      </c>
      <c r="E69" s="44">
        <f t="shared" si="4"/>
        <v>0</v>
      </c>
      <c r="F69" s="44">
        <f t="shared" si="5"/>
        <v>0</v>
      </c>
      <c r="G69" s="44">
        <f t="shared" si="6"/>
        <v>0</v>
      </c>
      <c r="H69" s="44">
        <v>1</v>
      </c>
      <c r="I69" s="44">
        <f t="shared" si="7"/>
        <v>0</v>
      </c>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row>
    <row r="70" spans="1:46" x14ac:dyDescent="0.35">
      <c r="A70" s="44" t="s">
        <v>12</v>
      </c>
      <c r="B70" s="44"/>
      <c r="C70" s="216" t="s">
        <v>552</v>
      </c>
      <c r="D70" s="44" t="s">
        <v>227</v>
      </c>
      <c r="E70" s="44">
        <f t="shared" si="4"/>
        <v>0</v>
      </c>
      <c r="F70" s="44">
        <f t="shared" si="5"/>
        <v>0</v>
      </c>
      <c r="G70" s="44">
        <f t="shared" si="6"/>
        <v>0</v>
      </c>
      <c r="H70" s="44">
        <v>1</v>
      </c>
      <c r="I70" s="44">
        <f t="shared" si="7"/>
        <v>0</v>
      </c>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row>
    <row r="71" spans="1:46" x14ac:dyDescent="0.35">
      <c r="A71" s="44" t="s">
        <v>12</v>
      </c>
      <c r="B71" s="44"/>
      <c r="C71" s="216" t="s">
        <v>553</v>
      </c>
      <c r="D71" s="44" t="s">
        <v>279</v>
      </c>
      <c r="E71" s="44">
        <f t="shared" si="4"/>
        <v>0</v>
      </c>
      <c r="F71" s="44">
        <f t="shared" si="5"/>
        <v>0</v>
      </c>
      <c r="G71" s="44">
        <f t="shared" si="6"/>
        <v>0</v>
      </c>
      <c r="H71" s="44">
        <v>1</v>
      </c>
      <c r="I71" s="44">
        <f t="shared" si="7"/>
        <v>0</v>
      </c>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row>
    <row r="72" spans="1:46" x14ac:dyDescent="0.35">
      <c r="A72" s="44" t="s">
        <v>12</v>
      </c>
      <c r="B72" s="44"/>
      <c r="C72" s="216" t="s">
        <v>554</v>
      </c>
      <c r="D72" s="44" t="s">
        <v>278</v>
      </c>
      <c r="E72" s="44">
        <f t="shared" si="4"/>
        <v>0</v>
      </c>
      <c r="F72" s="44">
        <f t="shared" si="5"/>
        <v>0</v>
      </c>
      <c r="G72" s="44">
        <f t="shared" si="6"/>
        <v>0</v>
      </c>
      <c r="H72" s="44">
        <v>1</v>
      </c>
      <c r="I72" s="44">
        <f t="shared" si="7"/>
        <v>0</v>
      </c>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row>
    <row r="73" spans="1:46" x14ac:dyDescent="0.35">
      <c r="A73" s="44" t="s">
        <v>12</v>
      </c>
      <c r="B73" s="44"/>
      <c r="C73" s="216" t="s">
        <v>555</v>
      </c>
      <c r="D73" s="44" t="s">
        <v>280</v>
      </c>
      <c r="E73" s="44">
        <f t="shared" si="4"/>
        <v>0</v>
      </c>
      <c r="F73" s="44">
        <f t="shared" si="5"/>
        <v>0</v>
      </c>
      <c r="G73" s="44">
        <f t="shared" si="6"/>
        <v>0</v>
      </c>
      <c r="H73" s="44">
        <v>1</v>
      </c>
      <c r="I73" s="44">
        <f t="shared" si="7"/>
        <v>0</v>
      </c>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row>
    <row r="74" spans="1:46" x14ac:dyDescent="0.35">
      <c r="A74" s="44" t="s">
        <v>12</v>
      </c>
      <c r="B74" s="44"/>
      <c r="C74" s="218" t="s">
        <v>67</v>
      </c>
      <c r="D74" s="44"/>
      <c r="E74" s="44">
        <f t="shared" si="4"/>
        <v>0</v>
      </c>
      <c r="F74" s="44">
        <f t="shared" si="5"/>
        <v>0</v>
      </c>
      <c r="G74" s="44">
        <f t="shared" si="6"/>
        <v>0</v>
      </c>
      <c r="H74" s="44">
        <v>1</v>
      </c>
      <c r="I74" s="44">
        <f t="shared" si="7"/>
        <v>0</v>
      </c>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row>
    <row r="75" spans="1:46" x14ac:dyDescent="0.35">
      <c r="A75" s="44" t="s">
        <v>12</v>
      </c>
      <c r="B75" s="44"/>
      <c r="C75" s="216" t="s">
        <v>556</v>
      </c>
      <c r="D75" s="44" t="s">
        <v>198</v>
      </c>
      <c r="E75" s="44">
        <f t="shared" si="4"/>
        <v>0</v>
      </c>
      <c r="F75" s="44">
        <f t="shared" si="5"/>
        <v>0</v>
      </c>
      <c r="G75" s="44">
        <f t="shared" si="6"/>
        <v>0</v>
      </c>
      <c r="H75" s="44">
        <v>1</v>
      </c>
      <c r="I75" s="44">
        <f t="shared" si="7"/>
        <v>0</v>
      </c>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row>
    <row r="76" spans="1:46" x14ac:dyDescent="0.35">
      <c r="A76" s="44" t="s">
        <v>12</v>
      </c>
      <c r="B76" s="44"/>
      <c r="C76" s="216" t="s">
        <v>557</v>
      </c>
      <c r="D76" s="44" t="s">
        <v>459</v>
      </c>
      <c r="E76" s="44">
        <f t="shared" si="4"/>
        <v>0</v>
      </c>
      <c r="F76" s="44">
        <f t="shared" si="5"/>
        <v>0</v>
      </c>
      <c r="G76" s="44">
        <f t="shared" si="6"/>
        <v>0</v>
      </c>
      <c r="H76" s="44">
        <v>1</v>
      </c>
      <c r="I76" s="44">
        <f t="shared" si="7"/>
        <v>0</v>
      </c>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row>
    <row r="77" spans="1:46" x14ac:dyDescent="0.35">
      <c r="A77" s="44" t="s">
        <v>12</v>
      </c>
      <c r="B77" s="44"/>
      <c r="C77" s="216" t="s">
        <v>558</v>
      </c>
      <c r="D77" s="44" t="s">
        <v>227</v>
      </c>
      <c r="E77" s="44">
        <f t="shared" si="4"/>
        <v>0</v>
      </c>
      <c r="F77" s="44">
        <f t="shared" si="5"/>
        <v>0</v>
      </c>
      <c r="G77" s="44">
        <f t="shared" si="6"/>
        <v>0</v>
      </c>
      <c r="H77" s="44">
        <v>1</v>
      </c>
      <c r="I77" s="44">
        <f t="shared" si="7"/>
        <v>0</v>
      </c>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row>
    <row r="78" spans="1:46" x14ac:dyDescent="0.35">
      <c r="A78" s="44" t="s">
        <v>12</v>
      </c>
      <c r="B78" s="44"/>
      <c r="C78" s="216" t="s">
        <v>559</v>
      </c>
      <c r="D78" s="44" t="s">
        <v>279</v>
      </c>
      <c r="E78" s="44">
        <f t="shared" si="4"/>
        <v>0</v>
      </c>
      <c r="F78" s="44">
        <f t="shared" si="5"/>
        <v>0</v>
      </c>
      <c r="G78" s="44">
        <f t="shared" si="6"/>
        <v>0</v>
      </c>
      <c r="H78" s="44">
        <v>1</v>
      </c>
      <c r="I78" s="44">
        <f t="shared" si="7"/>
        <v>0</v>
      </c>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row>
    <row r="79" spans="1:46" x14ac:dyDescent="0.35">
      <c r="A79" s="44" t="s">
        <v>12</v>
      </c>
      <c r="B79" s="44"/>
      <c r="C79" s="216" t="s">
        <v>560</v>
      </c>
      <c r="D79" s="44" t="s">
        <v>278</v>
      </c>
      <c r="E79" s="44">
        <f t="shared" si="4"/>
        <v>0</v>
      </c>
      <c r="F79" s="44">
        <f t="shared" si="5"/>
        <v>0</v>
      </c>
      <c r="G79" s="44">
        <f t="shared" si="6"/>
        <v>0</v>
      </c>
      <c r="H79" s="44">
        <v>1</v>
      </c>
      <c r="I79" s="44">
        <f t="shared" si="7"/>
        <v>0</v>
      </c>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row>
    <row r="80" spans="1:46" x14ac:dyDescent="0.35">
      <c r="A80" s="44" t="s">
        <v>12</v>
      </c>
      <c r="B80" s="44"/>
      <c r="C80" s="216" t="s">
        <v>561</v>
      </c>
      <c r="D80" s="44" t="s">
        <v>280</v>
      </c>
      <c r="E80" s="44">
        <f t="shared" si="4"/>
        <v>0</v>
      </c>
      <c r="F80" s="44">
        <f t="shared" si="5"/>
        <v>0</v>
      </c>
      <c r="G80" s="44">
        <f t="shared" si="6"/>
        <v>0</v>
      </c>
      <c r="H80" s="44">
        <v>1</v>
      </c>
      <c r="I80" s="44">
        <f t="shared" si="7"/>
        <v>0</v>
      </c>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row>
    <row r="81" spans="1:46" x14ac:dyDescent="0.35">
      <c r="A81" s="44" t="s">
        <v>12</v>
      </c>
      <c r="B81" s="44"/>
      <c r="C81" s="218" t="s">
        <v>74</v>
      </c>
      <c r="D81" s="44"/>
      <c r="E81" s="44">
        <f t="shared" si="4"/>
        <v>0</v>
      </c>
      <c r="F81" s="44">
        <f t="shared" si="5"/>
        <v>0</v>
      </c>
      <c r="G81" s="44">
        <f t="shared" si="6"/>
        <v>0</v>
      </c>
      <c r="H81" s="44">
        <v>1</v>
      </c>
      <c r="I81" s="44">
        <f t="shared" si="7"/>
        <v>0</v>
      </c>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row>
    <row r="82" spans="1:46" x14ac:dyDescent="0.35">
      <c r="A82" s="44" t="s">
        <v>12</v>
      </c>
      <c r="B82" s="44"/>
      <c r="C82" s="216" t="s">
        <v>562</v>
      </c>
      <c r="D82" s="44" t="s">
        <v>198</v>
      </c>
      <c r="E82" s="44">
        <f t="shared" si="4"/>
        <v>0</v>
      </c>
      <c r="F82" s="44">
        <f t="shared" si="5"/>
        <v>0</v>
      </c>
      <c r="G82" s="44">
        <f t="shared" si="6"/>
        <v>0</v>
      </c>
      <c r="H82" s="44">
        <v>1</v>
      </c>
      <c r="I82" s="44">
        <f t="shared" si="7"/>
        <v>0</v>
      </c>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row>
    <row r="83" spans="1:46" x14ac:dyDescent="0.35">
      <c r="A83" s="44" t="s">
        <v>12</v>
      </c>
      <c r="B83" s="44"/>
      <c r="C83" s="216" t="s">
        <v>563</v>
      </c>
      <c r="D83" s="44" t="s">
        <v>459</v>
      </c>
      <c r="E83" s="44">
        <f t="shared" si="4"/>
        <v>0</v>
      </c>
      <c r="F83" s="44">
        <f t="shared" si="5"/>
        <v>0</v>
      </c>
      <c r="G83" s="44">
        <f t="shared" si="6"/>
        <v>0</v>
      </c>
      <c r="H83" s="44">
        <v>1</v>
      </c>
      <c r="I83" s="44">
        <f t="shared" si="7"/>
        <v>0</v>
      </c>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row>
    <row r="84" spans="1:46" x14ac:dyDescent="0.35">
      <c r="A84" s="44" t="s">
        <v>12</v>
      </c>
      <c r="B84" s="44"/>
      <c r="C84" s="216" t="s">
        <v>564</v>
      </c>
      <c r="D84" s="44" t="s">
        <v>227</v>
      </c>
      <c r="E84" s="44">
        <f t="shared" si="4"/>
        <v>0</v>
      </c>
      <c r="F84" s="44">
        <f t="shared" si="5"/>
        <v>0</v>
      </c>
      <c r="G84" s="44">
        <f t="shared" si="6"/>
        <v>0</v>
      </c>
      <c r="H84" s="44">
        <v>1</v>
      </c>
      <c r="I84" s="44">
        <f t="shared" si="7"/>
        <v>0</v>
      </c>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row>
    <row r="85" spans="1:46" x14ac:dyDescent="0.35">
      <c r="A85" s="44" t="s">
        <v>12</v>
      </c>
      <c r="B85" s="44"/>
      <c r="C85" s="216" t="s">
        <v>565</v>
      </c>
      <c r="D85" s="44" t="s">
        <v>279</v>
      </c>
      <c r="E85" s="44">
        <f t="shared" si="4"/>
        <v>0</v>
      </c>
      <c r="F85" s="44">
        <f t="shared" si="5"/>
        <v>0</v>
      </c>
      <c r="G85" s="44">
        <f t="shared" si="6"/>
        <v>0</v>
      </c>
      <c r="H85" s="44">
        <v>1</v>
      </c>
      <c r="I85" s="44">
        <f t="shared" si="7"/>
        <v>0</v>
      </c>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row>
    <row r="86" spans="1:46" x14ac:dyDescent="0.35">
      <c r="A86" s="44" t="s">
        <v>12</v>
      </c>
      <c r="B86" s="44"/>
      <c r="C86" s="216" t="s">
        <v>566</v>
      </c>
      <c r="D86" s="44" t="s">
        <v>278</v>
      </c>
      <c r="E86" s="44">
        <f t="shared" si="4"/>
        <v>0</v>
      </c>
      <c r="F86" s="44">
        <f t="shared" si="5"/>
        <v>0</v>
      </c>
      <c r="G86" s="44">
        <f t="shared" si="6"/>
        <v>0</v>
      </c>
      <c r="H86" s="44">
        <v>1</v>
      </c>
      <c r="I86" s="44">
        <f t="shared" si="7"/>
        <v>0</v>
      </c>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row>
    <row r="87" spans="1:46" x14ac:dyDescent="0.35">
      <c r="A87" s="44" t="s">
        <v>12</v>
      </c>
      <c r="B87" s="44"/>
      <c r="C87" s="216" t="s">
        <v>567</v>
      </c>
      <c r="D87" s="44" t="s">
        <v>280</v>
      </c>
      <c r="E87" s="44">
        <f t="shared" si="4"/>
        <v>0</v>
      </c>
      <c r="F87" s="44">
        <f t="shared" si="5"/>
        <v>0</v>
      </c>
      <c r="G87" s="44">
        <f t="shared" si="6"/>
        <v>0</v>
      </c>
      <c r="H87" s="44">
        <v>1</v>
      </c>
      <c r="I87" s="44">
        <f t="shared" si="7"/>
        <v>0</v>
      </c>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row>
    <row r="88" spans="1:46" x14ac:dyDescent="0.35">
      <c r="A88" s="44" t="s">
        <v>12</v>
      </c>
      <c r="B88" s="44"/>
      <c r="C88" s="218" t="s">
        <v>188</v>
      </c>
      <c r="D88" s="44"/>
      <c r="E88" s="44">
        <f t="shared" si="4"/>
        <v>0</v>
      </c>
      <c r="F88" s="44">
        <f t="shared" si="5"/>
        <v>0</v>
      </c>
      <c r="G88" s="44">
        <f t="shared" si="6"/>
        <v>0</v>
      </c>
      <c r="H88" s="44">
        <v>1</v>
      </c>
      <c r="I88" s="44">
        <f t="shared" si="7"/>
        <v>0</v>
      </c>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row>
    <row r="89" spans="1:46" x14ac:dyDescent="0.35">
      <c r="A89" s="44" t="s">
        <v>12</v>
      </c>
      <c r="B89" s="44"/>
      <c r="C89" s="216" t="s">
        <v>568</v>
      </c>
      <c r="D89" s="44" t="s">
        <v>198</v>
      </c>
      <c r="E89" s="44">
        <f t="shared" si="4"/>
        <v>0</v>
      </c>
      <c r="F89" s="44">
        <f t="shared" si="5"/>
        <v>0</v>
      </c>
      <c r="G89" s="44">
        <f t="shared" si="6"/>
        <v>0</v>
      </c>
      <c r="H89" s="44">
        <v>1</v>
      </c>
      <c r="I89" s="44">
        <f t="shared" si="7"/>
        <v>0</v>
      </c>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row>
    <row r="90" spans="1:46" x14ac:dyDescent="0.35">
      <c r="A90" s="44" t="s">
        <v>12</v>
      </c>
      <c r="B90" s="44"/>
      <c r="C90" s="216" t="s">
        <v>569</v>
      </c>
      <c r="D90" s="44" t="s">
        <v>459</v>
      </c>
      <c r="E90" s="44">
        <f t="shared" si="4"/>
        <v>0</v>
      </c>
      <c r="F90" s="44">
        <f t="shared" si="5"/>
        <v>0</v>
      </c>
      <c r="G90" s="44">
        <f t="shared" si="6"/>
        <v>0</v>
      </c>
      <c r="H90" s="44">
        <v>1</v>
      </c>
      <c r="I90" s="44">
        <f t="shared" si="7"/>
        <v>0</v>
      </c>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row>
    <row r="91" spans="1:46" x14ac:dyDescent="0.35">
      <c r="A91" s="44" t="s">
        <v>12</v>
      </c>
      <c r="B91" s="44"/>
      <c r="C91" s="216" t="s">
        <v>570</v>
      </c>
      <c r="D91" s="44" t="s">
        <v>227</v>
      </c>
      <c r="E91" s="44">
        <f t="shared" si="4"/>
        <v>0</v>
      </c>
      <c r="F91" s="44">
        <f t="shared" si="5"/>
        <v>0</v>
      </c>
      <c r="G91" s="44">
        <f t="shared" si="6"/>
        <v>0</v>
      </c>
      <c r="H91" s="44">
        <v>1</v>
      </c>
      <c r="I91" s="44">
        <f t="shared" si="7"/>
        <v>0</v>
      </c>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row>
    <row r="92" spans="1:46" x14ac:dyDescent="0.35">
      <c r="A92" s="44" t="s">
        <v>12</v>
      </c>
      <c r="B92" s="44"/>
      <c r="C92" s="216" t="s">
        <v>571</v>
      </c>
      <c r="D92" s="44" t="s">
        <v>279</v>
      </c>
      <c r="E92" s="44">
        <f t="shared" si="4"/>
        <v>0</v>
      </c>
      <c r="F92" s="44">
        <f t="shared" si="5"/>
        <v>0</v>
      </c>
      <c r="G92" s="44">
        <f t="shared" si="6"/>
        <v>0</v>
      </c>
      <c r="H92" s="44">
        <v>1</v>
      </c>
      <c r="I92" s="44">
        <f t="shared" si="7"/>
        <v>0</v>
      </c>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row>
    <row r="93" spans="1:46" x14ac:dyDescent="0.35">
      <c r="A93" s="44" t="s">
        <v>12</v>
      </c>
      <c r="B93" s="44"/>
      <c r="C93" s="216" t="s">
        <v>572</v>
      </c>
      <c r="D93" s="44" t="s">
        <v>278</v>
      </c>
      <c r="E93" s="44">
        <f t="shared" si="4"/>
        <v>0</v>
      </c>
      <c r="F93" s="44">
        <f t="shared" si="5"/>
        <v>0</v>
      </c>
      <c r="G93" s="44">
        <f t="shared" si="6"/>
        <v>0</v>
      </c>
      <c r="H93" s="44">
        <v>1</v>
      </c>
      <c r="I93" s="44">
        <f t="shared" si="7"/>
        <v>0</v>
      </c>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row>
    <row r="94" spans="1:46" x14ac:dyDescent="0.35">
      <c r="A94" s="44" t="s">
        <v>12</v>
      </c>
      <c r="B94" s="44"/>
      <c r="C94" s="216" t="s">
        <v>573</v>
      </c>
      <c r="D94" s="44" t="s">
        <v>280</v>
      </c>
      <c r="E94" s="44">
        <f t="shared" si="4"/>
        <v>0</v>
      </c>
      <c r="F94" s="44">
        <f t="shared" si="5"/>
        <v>0</v>
      </c>
      <c r="G94" s="44">
        <f t="shared" si="6"/>
        <v>0</v>
      </c>
      <c r="H94" s="44">
        <v>1</v>
      </c>
      <c r="I94" s="44">
        <f t="shared" si="7"/>
        <v>0</v>
      </c>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row>
    <row r="95" spans="1:46" x14ac:dyDescent="0.35">
      <c r="A95" s="44" t="s">
        <v>12</v>
      </c>
      <c r="B95" s="44"/>
      <c r="C95" s="218" t="s">
        <v>76</v>
      </c>
      <c r="D95" s="44"/>
      <c r="E95" s="44">
        <f t="shared" si="4"/>
        <v>0</v>
      </c>
      <c r="F95" s="44">
        <f t="shared" si="5"/>
        <v>0</v>
      </c>
      <c r="G95" s="44">
        <f t="shared" si="6"/>
        <v>0</v>
      </c>
      <c r="H95" s="44">
        <v>1</v>
      </c>
      <c r="I95" s="44">
        <f t="shared" si="7"/>
        <v>0</v>
      </c>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row>
    <row r="96" spans="1:46" x14ac:dyDescent="0.35">
      <c r="A96" s="44" t="s">
        <v>12</v>
      </c>
      <c r="B96" s="44"/>
      <c r="C96" s="216" t="s">
        <v>574</v>
      </c>
      <c r="D96" s="44" t="s">
        <v>198</v>
      </c>
      <c r="E96" s="44">
        <f t="shared" si="4"/>
        <v>0</v>
      </c>
      <c r="F96" s="44">
        <f t="shared" si="5"/>
        <v>0</v>
      </c>
      <c r="G96" s="44">
        <f t="shared" si="6"/>
        <v>0</v>
      </c>
      <c r="H96" s="44">
        <v>1</v>
      </c>
      <c r="I96" s="44">
        <f t="shared" si="7"/>
        <v>0</v>
      </c>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row>
    <row r="97" spans="1:46" x14ac:dyDescent="0.35">
      <c r="A97" s="44" t="s">
        <v>12</v>
      </c>
      <c r="B97" s="44"/>
      <c r="C97" s="216" t="s">
        <v>575</v>
      </c>
      <c r="D97" s="44" t="s">
        <v>459</v>
      </c>
      <c r="E97" s="44">
        <f t="shared" si="4"/>
        <v>0</v>
      </c>
      <c r="F97" s="44">
        <f t="shared" si="5"/>
        <v>0</v>
      </c>
      <c r="G97" s="44">
        <f t="shared" si="6"/>
        <v>0</v>
      </c>
      <c r="H97" s="44">
        <v>1</v>
      </c>
      <c r="I97" s="44">
        <f t="shared" si="7"/>
        <v>0</v>
      </c>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row>
    <row r="98" spans="1:46" x14ac:dyDescent="0.35">
      <c r="A98" s="44" t="s">
        <v>12</v>
      </c>
      <c r="B98" s="44"/>
      <c r="C98" s="216" t="s">
        <v>576</v>
      </c>
      <c r="D98" s="44" t="s">
        <v>227</v>
      </c>
      <c r="E98" s="44">
        <f t="shared" si="4"/>
        <v>0</v>
      </c>
      <c r="F98" s="44">
        <f t="shared" si="5"/>
        <v>0</v>
      </c>
      <c r="G98" s="44">
        <f t="shared" si="6"/>
        <v>0</v>
      </c>
      <c r="H98" s="44">
        <v>1</v>
      </c>
      <c r="I98" s="44">
        <f t="shared" si="7"/>
        <v>0</v>
      </c>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row>
    <row r="99" spans="1:46" x14ac:dyDescent="0.35">
      <c r="A99" s="44" t="s">
        <v>12</v>
      </c>
      <c r="B99" s="44"/>
      <c r="C99" s="216" t="s">
        <v>577</v>
      </c>
      <c r="D99" s="44" t="s">
        <v>279</v>
      </c>
      <c r="E99" s="44">
        <f t="shared" si="4"/>
        <v>0</v>
      </c>
      <c r="F99" s="44">
        <f t="shared" si="5"/>
        <v>0</v>
      </c>
      <c r="G99" s="44">
        <f t="shared" si="6"/>
        <v>0</v>
      </c>
      <c r="H99" s="44">
        <v>1</v>
      </c>
      <c r="I99" s="44">
        <f t="shared" si="7"/>
        <v>0</v>
      </c>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row>
    <row r="100" spans="1:46" x14ac:dyDescent="0.35">
      <c r="A100" s="44" t="s">
        <v>12</v>
      </c>
      <c r="B100" s="44"/>
      <c r="C100" s="216" t="s">
        <v>578</v>
      </c>
      <c r="D100" s="44" t="s">
        <v>278</v>
      </c>
      <c r="E100" s="44">
        <f t="shared" si="4"/>
        <v>0</v>
      </c>
      <c r="F100" s="44">
        <f t="shared" si="5"/>
        <v>0</v>
      </c>
      <c r="G100" s="44">
        <f t="shared" si="6"/>
        <v>0</v>
      </c>
      <c r="H100" s="44">
        <v>1</v>
      </c>
      <c r="I100" s="44">
        <f t="shared" si="7"/>
        <v>0</v>
      </c>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row>
    <row r="101" spans="1:46" x14ac:dyDescent="0.35">
      <c r="A101" s="44" t="s">
        <v>12</v>
      </c>
      <c r="B101" s="44"/>
      <c r="C101" s="216" t="s">
        <v>579</v>
      </c>
      <c r="D101" s="44" t="s">
        <v>280</v>
      </c>
      <c r="E101" s="44">
        <f t="shared" si="4"/>
        <v>0</v>
      </c>
      <c r="F101" s="44">
        <f t="shared" si="5"/>
        <v>0</v>
      </c>
      <c r="G101" s="44">
        <f t="shared" si="6"/>
        <v>0</v>
      </c>
      <c r="H101" s="44">
        <v>1</v>
      </c>
      <c r="I101" s="44">
        <f t="shared" si="7"/>
        <v>0</v>
      </c>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row>
    <row r="102" spans="1:46" x14ac:dyDescent="0.35">
      <c r="A102" s="44" t="s">
        <v>12</v>
      </c>
      <c r="B102" s="44"/>
      <c r="C102" s="218" t="s">
        <v>88</v>
      </c>
      <c r="D102" s="44"/>
      <c r="E102" s="44">
        <f t="shared" si="4"/>
        <v>0</v>
      </c>
      <c r="F102" s="44">
        <f t="shared" si="5"/>
        <v>0</v>
      </c>
      <c r="G102" s="44">
        <f t="shared" si="6"/>
        <v>0</v>
      </c>
      <c r="H102" s="44">
        <v>1</v>
      </c>
      <c r="I102" s="44">
        <f t="shared" si="7"/>
        <v>0</v>
      </c>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row>
    <row r="103" spans="1:46" x14ac:dyDescent="0.35">
      <c r="A103" s="44" t="s">
        <v>12</v>
      </c>
      <c r="B103" s="44"/>
      <c r="C103" s="216" t="s">
        <v>580</v>
      </c>
      <c r="D103" s="44" t="s">
        <v>198</v>
      </c>
      <c r="E103" s="44">
        <f t="shared" si="4"/>
        <v>0</v>
      </c>
      <c r="F103" s="44">
        <f t="shared" si="5"/>
        <v>0</v>
      </c>
      <c r="G103" s="44">
        <f t="shared" si="6"/>
        <v>0</v>
      </c>
      <c r="H103" s="44">
        <v>1</v>
      </c>
      <c r="I103" s="44">
        <f t="shared" si="7"/>
        <v>0</v>
      </c>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row>
    <row r="104" spans="1:46" x14ac:dyDescent="0.35">
      <c r="A104" s="44" t="s">
        <v>12</v>
      </c>
      <c r="B104" s="44"/>
      <c r="C104" s="216" t="s">
        <v>581</v>
      </c>
      <c r="D104" s="44" t="s">
        <v>459</v>
      </c>
      <c r="E104" s="44">
        <f t="shared" si="4"/>
        <v>0</v>
      </c>
      <c r="F104" s="44">
        <f t="shared" si="5"/>
        <v>0</v>
      </c>
      <c r="G104" s="44">
        <f t="shared" si="6"/>
        <v>0</v>
      </c>
      <c r="H104" s="44">
        <v>1</v>
      </c>
      <c r="I104" s="44">
        <f t="shared" si="7"/>
        <v>0</v>
      </c>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row>
    <row r="105" spans="1:46" x14ac:dyDescent="0.35">
      <c r="A105" s="44" t="s">
        <v>12</v>
      </c>
      <c r="B105" s="44"/>
      <c r="C105" s="216" t="s">
        <v>582</v>
      </c>
      <c r="D105" s="44" t="s">
        <v>227</v>
      </c>
      <c r="E105" s="44">
        <f t="shared" si="4"/>
        <v>0</v>
      </c>
      <c r="F105" s="44">
        <f t="shared" si="5"/>
        <v>0</v>
      </c>
      <c r="G105" s="44">
        <f t="shared" si="6"/>
        <v>0</v>
      </c>
      <c r="H105" s="44">
        <v>1</v>
      </c>
      <c r="I105" s="44">
        <f t="shared" si="7"/>
        <v>0</v>
      </c>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row>
    <row r="106" spans="1:46" x14ac:dyDescent="0.35">
      <c r="A106" s="44" t="s">
        <v>12</v>
      </c>
      <c r="B106" s="44"/>
      <c r="C106" s="216" t="s">
        <v>583</v>
      </c>
      <c r="D106" s="44" t="s">
        <v>279</v>
      </c>
      <c r="E106" s="44">
        <f t="shared" si="4"/>
        <v>0</v>
      </c>
      <c r="F106" s="44">
        <f t="shared" si="5"/>
        <v>0</v>
      </c>
      <c r="G106" s="44">
        <f t="shared" si="6"/>
        <v>0</v>
      </c>
      <c r="H106" s="44">
        <v>1</v>
      </c>
      <c r="I106" s="44">
        <f t="shared" si="7"/>
        <v>0</v>
      </c>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row>
    <row r="107" spans="1:46" x14ac:dyDescent="0.35">
      <c r="A107" s="44" t="s">
        <v>12</v>
      </c>
      <c r="B107" s="44"/>
      <c r="C107" s="216" t="s">
        <v>584</v>
      </c>
      <c r="D107" s="44" t="s">
        <v>278</v>
      </c>
      <c r="E107" s="44">
        <f t="shared" si="4"/>
        <v>0</v>
      </c>
      <c r="F107" s="44">
        <f t="shared" si="5"/>
        <v>0</v>
      </c>
      <c r="G107" s="44">
        <f t="shared" si="6"/>
        <v>0</v>
      </c>
      <c r="H107" s="44">
        <v>1</v>
      </c>
      <c r="I107" s="44">
        <f t="shared" si="7"/>
        <v>0</v>
      </c>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row>
    <row r="108" spans="1:46" x14ac:dyDescent="0.35">
      <c r="A108" s="44" t="s">
        <v>12</v>
      </c>
      <c r="B108" s="44"/>
      <c r="C108" s="216" t="s">
        <v>585</v>
      </c>
      <c r="D108" s="44" t="s">
        <v>280</v>
      </c>
      <c r="E108" s="44">
        <f t="shared" si="4"/>
        <v>0</v>
      </c>
      <c r="F108" s="44">
        <f t="shared" si="5"/>
        <v>0</v>
      </c>
      <c r="G108" s="44">
        <f t="shared" si="6"/>
        <v>0</v>
      </c>
      <c r="H108" s="44">
        <v>1</v>
      </c>
      <c r="I108" s="44">
        <f t="shared" si="7"/>
        <v>0</v>
      </c>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row>
    <row r="109" spans="1:46" x14ac:dyDescent="0.35">
      <c r="A109" s="44" t="s">
        <v>12</v>
      </c>
      <c r="B109" s="44"/>
      <c r="C109" s="218" t="s">
        <v>90</v>
      </c>
      <c r="D109" s="44"/>
      <c r="E109" s="44">
        <f t="shared" si="4"/>
        <v>0</v>
      </c>
      <c r="F109" s="44">
        <f t="shared" si="5"/>
        <v>0</v>
      </c>
      <c r="G109" s="44">
        <f t="shared" si="6"/>
        <v>0</v>
      </c>
      <c r="H109" s="44">
        <v>1</v>
      </c>
      <c r="I109" s="44">
        <f t="shared" si="7"/>
        <v>0</v>
      </c>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row>
    <row r="110" spans="1:46" x14ac:dyDescent="0.35">
      <c r="A110" s="44" t="s">
        <v>12</v>
      </c>
      <c r="B110" s="44"/>
      <c r="C110" s="216" t="s">
        <v>586</v>
      </c>
      <c r="D110" s="44" t="s">
        <v>198</v>
      </c>
      <c r="E110" s="44">
        <f t="shared" si="4"/>
        <v>0</v>
      </c>
      <c r="F110" s="44">
        <f t="shared" si="5"/>
        <v>0</v>
      </c>
      <c r="G110" s="44">
        <f t="shared" si="6"/>
        <v>0</v>
      </c>
      <c r="H110" s="44">
        <v>1</v>
      </c>
      <c r="I110" s="44">
        <f t="shared" si="7"/>
        <v>0</v>
      </c>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row>
    <row r="111" spans="1:46" x14ac:dyDescent="0.35">
      <c r="A111" s="44" t="s">
        <v>12</v>
      </c>
      <c r="B111" s="44"/>
      <c r="C111" s="216" t="s">
        <v>587</v>
      </c>
      <c r="D111" s="44" t="s">
        <v>459</v>
      </c>
      <c r="E111" s="44">
        <f t="shared" si="4"/>
        <v>0</v>
      </c>
      <c r="F111" s="44">
        <f t="shared" si="5"/>
        <v>0</v>
      </c>
      <c r="G111" s="44">
        <f t="shared" si="6"/>
        <v>0</v>
      </c>
      <c r="H111" s="44">
        <v>1</v>
      </c>
      <c r="I111" s="44">
        <f t="shared" si="7"/>
        <v>0</v>
      </c>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row>
    <row r="112" spans="1:46" x14ac:dyDescent="0.35">
      <c r="A112" s="44" t="s">
        <v>12</v>
      </c>
      <c r="B112" s="44"/>
      <c r="C112" s="216" t="s">
        <v>588</v>
      </c>
      <c r="D112" s="44" t="s">
        <v>227</v>
      </c>
      <c r="E112" s="44">
        <f t="shared" si="4"/>
        <v>0</v>
      </c>
      <c r="F112" s="44">
        <f t="shared" si="5"/>
        <v>0</v>
      </c>
      <c r="G112" s="44">
        <f t="shared" si="6"/>
        <v>0</v>
      </c>
      <c r="H112" s="44">
        <v>1</v>
      </c>
      <c r="I112" s="44">
        <f t="shared" si="7"/>
        <v>0</v>
      </c>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row>
    <row r="113" spans="1:46" x14ac:dyDescent="0.35">
      <c r="A113" s="44" t="s">
        <v>12</v>
      </c>
      <c r="B113" s="44"/>
      <c r="C113" s="216" t="s">
        <v>589</v>
      </c>
      <c r="D113" s="44" t="s">
        <v>279</v>
      </c>
      <c r="E113" s="44">
        <f t="shared" si="4"/>
        <v>0</v>
      </c>
      <c r="F113" s="44">
        <f t="shared" si="5"/>
        <v>0</v>
      </c>
      <c r="G113" s="44">
        <f t="shared" si="6"/>
        <v>0</v>
      </c>
      <c r="H113" s="44">
        <v>1</v>
      </c>
      <c r="I113" s="44">
        <f t="shared" si="7"/>
        <v>0</v>
      </c>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row>
    <row r="114" spans="1:46" x14ac:dyDescent="0.35">
      <c r="A114" s="44" t="s">
        <v>12</v>
      </c>
      <c r="B114" s="44"/>
      <c r="C114" s="216" t="s">
        <v>590</v>
      </c>
      <c r="D114" s="44" t="s">
        <v>278</v>
      </c>
      <c r="E114" s="44">
        <f t="shared" si="4"/>
        <v>0</v>
      </c>
      <c r="F114" s="44">
        <f t="shared" si="5"/>
        <v>0</v>
      </c>
      <c r="G114" s="44">
        <f t="shared" si="6"/>
        <v>0</v>
      </c>
      <c r="H114" s="44">
        <v>1</v>
      </c>
      <c r="I114" s="44">
        <f t="shared" si="7"/>
        <v>0</v>
      </c>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row>
    <row r="115" spans="1:46" x14ac:dyDescent="0.35">
      <c r="A115" s="44" t="s">
        <v>12</v>
      </c>
      <c r="B115" s="44"/>
      <c r="C115" s="216" t="s">
        <v>591</v>
      </c>
      <c r="D115" s="44" t="s">
        <v>280</v>
      </c>
      <c r="E115" s="44">
        <f t="shared" si="4"/>
        <v>0</v>
      </c>
      <c r="F115" s="44">
        <f t="shared" si="5"/>
        <v>0</v>
      </c>
      <c r="G115" s="44">
        <f t="shared" si="6"/>
        <v>0</v>
      </c>
      <c r="H115" s="44">
        <v>1</v>
      </c>
      <c r="I115" s="44">
        <f t="shared" si="7"/>
        <v>0</v>
      </c>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row>
    <row r="116" spans="1:46" x14ac:dyDescent="0.35">
      <c r="A116" s="44" t="s">
        <v>12</v>
      </c>
      <c r="B116" s="44"/>
      <c r="C116" s="218" t="s">
        <v>116</v>
      </c>
      <c r="D116" s="44"/>
      <c r="E116" s="44">
        <f t="shared" si="4"/>
        <v>0</v>
      </c>
      <c r="F116" s="44">
        <f t="shared" si="5"/>
        <v>0</v>
      </c>
      <c r="G116" s="44">
        <f t="shared" si="6"/>
        <v>0</v>
      </c>
      <c r="H116" s="44">
        <v>1</v>
      </c>
      <c r="I116" s="44">
        <f t="shared" si="7"/>
        <v>0</v>
      </c>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row>
    <row r="117" spans="1:46" x14ac:dyDescent="0.35">
      <c r="A117" s="44" t="s">
        <v>12</v>
      </c>
      <c r="B117" s="44"/>
      <c r="C117" s="216" t="s">
        <v>592</v>
      </c>
      <c r="D117" s="44" t="s">
        <v>198</v>
      </c>
      <c r="E117" s="44">
        <f t="shared" si="4"/>
        <v>0</v>
      </c>
      <c r="F117" s="44">
        <f t="shared" si="5"/>
        <v>0</v>
      </c>
      <c r="G117" s="44">
        <f t="shared" si="6"/>
        <v>0</v>
      </c>
      <c r="H117" s="44">
        <v>1</v>
      </c>
      <c r="I117" s="44">
        <f t="shared" si="7"/>
        <v>0</v>
      </c>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row>
    <row r="118" spans="1:46" x14ac:dyDescent="0.35">
      <c r="A118" s="44" t="s">
        <v>12</v>
      </c>
      <c r="B118" s="44"/>
      <c r="C118" s="216" t="s">
        <v>593</v>
      </c>
      <c r="D118" s="44" t="s">
        <v>459</v>
      </c>
      <c r="E118" s="44">
        <f t="shared" si="4"/>
        <v>0</v>
      </c>
      <c r="F118" s="44">
        <f t="shared" si="5"/>
        <v>0</v>
      </c>
      <c r="G118" s="44">
        <f t="shared" si="6"/>
        <v>0</v>
      </c>
      <c r="H118" s="44">
        <v>1</v>
      </c>
      <c r="I118" s="44">
        <f t="shared" si="7"/>
        <v>0</v>
      </c>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row>
    <row r="119" spans="1:46" x14ac:dyDescent="0.35">
      <c r="A119" s="44" t="s">
        <v>12</v>
      </c>
      <c r="B119" s="44"/>
      <c r="C119" s="216" t="s">
        <v>594</v>
      </c>
      <c r="D119" s="44" t="s">
        <v>227</v>
      </c>
      <c r="E119" s="44">
        <f t="shared" si="4"/>
        <v>0</v>
      </c>
      <c r="F119" s="44">
        <f t="shared" si="5"/>
        <v>0</v>
      </c>
      <c r="G119" s="44">
        <f t="shared" si="6"/>
        <v>0</v>
      </c>
      <c r="H119" s="44">
        <v>1</v>
      </c>
      <c r="I119" s="44">
        <f t="shared" si="7"/>
        <v>0</v>
      </c>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row>
    <row r="120" spans="1:46" x14ac:dyDescent="0.35">
      <c r="A120" s="44" t="s">
        <v>12</v>
      </c>
      <c r="B120" s="44"/>
      <c r="C120" s="216" t="s">
        <v>595</v>
      </c>
      <c r="D120" s="44" t="s">
        <v>279</v>
      </c>
      <c r="E120" s="44">
        <f t="shared" si="4"/>
        <v>0</v>
      </c>
      <c r="F120" s="44">
        <f t="shared" si="5"/>
        <v>0</v>
      </c>
      <c r="G120" s="44">
        <f t="shared" si="6"/>
        <v>0</v>
      </c>
      <c r="H120" s="44">
        <v>1</v>
      </c>
      <c r="I120" s="44">
        <f t="shared" si="7"/>
        <v>0</v>
      </c>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row>
    <row r="121" spans="1:46" x14ac:dyDescent="0.35">
      <c r="A121" s="44" t="s">
        <v>12</v>
      </c>
      <c r="B121" s="44"/>
      <c r="C121" s="216" t="s">
        <v>596</v>
      </c>
      <c r="D121" s="44" t="s">
        <v>278</v>
      </c>
      <c r="E121" s="44">
        <f t="shared" si="4"/>
        <v>0</v>
      </c>
      <c r="F121" s="44">
        <f t="shared" si="5"/>
        <v>0</v>
      </c>
      <c r="G121" s="44">
        <f t="shared" si="6"/>
        <v>0</v>
      </c>
      <c r="H121" s="44">
        <v>1</v>
      </c>
      <c r="I121" s="44">
        <f t="shared" si="7"/>
        <v>0</v>
      </c>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row>
    <row r="122" spans="1:46" x14ac:dyDescent="0.35">
      <c r="A122" s="44" t="s">
        <v>12</v>
      </c>
      <c r="B122" s="44"/>
      <c r="C122" s="216" t="s">
        <v>597</v>
      </c>
      <c r="D122" s="44" t="s">
        <v>280</v>
      </c>
      <c r="E122" s="44">
        <f t="shared" si="4"/>
        <v>0</v>
      </c>
      <c r="F122" s="44">
        <f t="shared" si="5"/>
        <v>0</v>
      </c>
      <c r="G122" s="44">
        <f t="shared" si="6"/>
        <v>0</v>
      </c>
      <c r="H122" s="44">
        <v>1</v>
      </c>
      <c r="I122" s="44">
        <f t="shared" si="7"/>
        <v>0</v>
      </c>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row>
    <row r="123" spans="1:46" x14ac:dyDescent="0.35">
      <c r="A123" s="44" t="s">
        <v>12</v>
      </c>
      <c r="B123" s="44"/>
      <c r="C123" s="218" t="s">
        <v>123</v>
      </c>
      <c r="D123" s="44"/>
      <c r="E123" s="44">
        <f t="shared" si="4"/>
        <v>0</v>
      </c>
      <c r="F123" s="44">
        <f t="shared" si="5"/>
        <v>0</v>
      </c>
      <c r="G123" s="44">
        <f t="shared" si="6"/>
        <v>0</v>
      </c>
      <c r="H123" s="44">
        <v>1</v>
      </c>
      <c r="I123" s="44">
        <f t="shared" si="7"/>
        <v>0</v>
      </c>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row>
    <row r="124" spans="1:46" x14ac:dyDescent="0.35">
      <c r="A124" s="44" t="s">
        <v>12</v>
      </c>
      <c r="B124" s="44"/>
      <c r="C124" s="216" t="s">
        <v>598</v>
      </c>
      <c r="D124" s="44" t="s">
        <v>198</v>
      </c>
      <c r="E124" s="44">
        <f t="shared" si="4"/>
        <v>0</v>
      </c>
      <c r="F124" s="44">
        <f t="shared" si="5"/>
        <v>0</v>
      </c>
      <c r="G124" s="44">
        <f t="shared" si="6"/>
        <v>0</v>
      </c>
      <c r="H124" s="44">
        <v>1</v>
      </c>
      <c r="I124" s="44">
        <f t="shared" si="7"/>
        <v>0</v>
      </c>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row>
    <row r="125" spans="1:46" x14ac:dyDescent="0.35">
      <c r="A125" s="44" t="s">
        <v>12</v>
      </c>
      <c r="B125" s="44"/>
      <c r="C125" s="216" t="s">
        <v>599</v>
      </c>
      <c r="D125" s="44" t="s">
        <v>459</v>
      </c>
      <c r="E125" s="44">
        <f t="shared" si="4"/>
        <v>0</v>
      </c>
      <c r="F125" s="44">
        <f t="shared" si="5"/>
        <v>0</v>
      </c>
      <c r="G125" s="44">
        <f t="shared" si="6"/>
        <v>0</v>
      </c>
      <c r="H125" s="44">
        <v>1</v>
      </c>
      <c r="I125" s="44">
        <f t="shared" si="7"/>
        <v>0</v>
      </c>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row>
    <row r="126" spans="1:46" x14ac:dyDescent="0.35">
      <c r="A126" s="44" t="s">
        <v>12</v>
      </c>
      <c r="B126" s="44"/>
      <c r="C126" s="216" t="s">
        <v>600</v>
      </c>
      <c r="D126" s="44" t="s">
        <v>227</v>
      </c>
      <c r="E126" s="44">
        <f t="shared" si="4"/>
        <v>0</v>
      </c>
      <c r="F126" s="44">
        <f t="shared" si="5"/>
        <v>0</v>
      </c>
      <c r="G126" s="44">
        <f t="shared" si="6"/>
        <v>0</v>
      </c>
      <c r="H126" s="44">
        <v>1</v>
      </c>
      <c r="I126" s="44">
        <f t="shared" si="7"/>
        <v>0</v>
      </c>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row>
    <row r="127" spans="1:46" x14ac:dyDescent="0.35">
      <c r="A127" s="44" t="s">
        <v>12</v>
      </c>
      <c r="B127" s="44"/>
      <c r="C127" s="216" t="s">
        <v>601</v>
      </c>
      <c r="D127" s="44" t="s">
        <v>279</v>
      </c>
      <c r="E127" s="44">
        <f t="shared" si="4"/>
        <v>0</v>
      </c>
      <c r="F127" s="44">
        <f t="shared" si="5"/>
        <v>0</v>
      </c>
      <c r="G127" s="44">
        <f t="shared" si="6"/>
        <v>0</v>
      </c>
      <c r="H127" s="44">
        <v>1</v>
      </c>
      <c r="I127" s="44">
        <f t="shared" si="7"/>
        <v>0</v>
      </c>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row>
    <row r="128" spans="1:46" x14ac:dyDescent="0.35">
      <c r="A128" s="44" t="s">
        <v>12</v>
      </c>
      <c r="B128" s="44"/>
      <c r="C128" s="216" t="s">
        <v>602</v>
      </c>
      <c r="D128" s="44" t="s">
        <v>278</v>
      </c>
      <c r="E128" s="44">
        <f t="shared" si="4"/>
        <v>0</v>
      </c>
      <c r="F128" s="44">
        <f t="shared" si="5"/>
        <v>0</v>
      </c>
      <c r="G128" s="44">
        <f t="shared" si="6"/>
        <v>0</v>
      </c>
      <c r="H128" s="44">
        <v>1</v>
      </c>
      <c r="I128" s="44">
        <f t="shared" si="7"/>
        <v>0</v>
      </c>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row>
    <row r="129" spans="1:46" x14ac:dyDescent="0.35">
      <c r="A129" s="44" t="s">
        <v>12</v>
      </c>
      <c r="B129" s="44"/>
      <c r="C129" s="216" t="s">
        <v>603</v>
      </c>
      <c r="D129" s="44" t="s">
        <v>280</v>
      </c>
      <c r="E129" s="44">
        <f t="shared" si="4"/>
        <v>0</v>
      </c>
      <c r="F129" s="44">
        <f t="shared" si="5"/>
        <v>0</v>
      </c>
      <c r="G129" s="44">
        <f t="shared" si="6"/>
        <v>0</v>
      </c>
      <c r="H129" s="44">
        <v>1</v>
      </c>
      <c r="I129" s="44">
        <f t="shared" si="7"/>
        <v>0</v>
      </c>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row>
    <row r="130" spans="1:46" x14ac:dyDescent="0.35">
      <c r="A130" s="44" t="s">
        <v>12</v>
      </c>
      <c r="B130" s="44"/>
      <c r="C130" s="218" t="s">
        <v>125</v>
      </c>
      <c r="D130" s="44"/>
      <c r="E130" s="44">
        <f t="shared" si="4"/>
        <v>0</v>
      </c>
      <c r="F130" s="44">
        <f t="shared" si="5"/>
        <v>0</v>
      </c>
      <c r="G130" s="44">
        <f t="shared" si="6"/>
        <v>0</v>
      </c>
      <c r="H130" s="44">
        <v>1</v>
      </c>
      <c r="I130" s="44">
        <f t="shared" si="7"/>
        <v>0</v>
      </c>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row>
    <row r="131" spans="1:46" x14ac:dyDescent="0.35">
      <c r="A131" s="44" t="s">
        <v>12</v>
      </c>
      <c r="B131" s="44"/>
      <c r="C131" s="216" t="s">
        <v>604</v>
      </c>
      <c r="D131" s="44" t="s">
        <v>198</v>
      </c>
      <c r="E131" s="44">
        <f t="shared" si="4"/>
        <v>0</v>
      </c>
      <c r="F131" s="44">
        <f t="shared" si="5"/>
        <v>0</v>
      </c>
      <c r="G131" s="44">
        <f t="shared" si="6"/>
        <v>0</v>
      </c>
      <c r="H131" s="44">
        <v>1</v>
      </c>
      <c r="I131" s="44">
        <f t="shared" si="7"/>
        <v>0</v>
      </c>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row>
    <row r="132" spans="1:46" x14ac:dyDescent="0.35">
      <c r="A132" s="44" t="s">
        <v>12</v>
      </c>
      <c r="B132" s="44"/>
      <c r="C132" s="216" t="s">
        <v>605</v>
      </c>
      <c r="D132" s="44" t="s">
        <v>459</v>
      </c>
      <c r="E132" s="44">
        <f t="shared" ref="E132:E195" si="8">G132*160</f>
        <v>0</v>
      </c>
      <c r="F132" s="44">
        <f t="shared" ref="F132:F195" si="9">E132/8</f>
        <v>0</v>
      </c>
      <c r="G132" s="44">
        <f t="shared" ref="G132:G195" si="10">COUNTIF(K132:AT132, "-")*H132</f>
        <v>0</v>
      </c>
      <c r="H132" s="44">
        <v>1</v>
      </c>
      <c r="I132" s="44">
        <f t="shared" ref="I132:I195" si="11">E132*54</f>
        <v>0</v>
      </c>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row>
    <row r="133" spans="1:46" x14ac:dyDescent="0.35">
      <c r="A133" s="44" t="s">
        <v>12</v>
      </c>
      <c r="B133" s="44"/>
      <c r="C133" s="216" t="s">
        <v>606</v>
      </c>
      <c r="D133" s="44" t="s">
        <v>227</v>
      </c>
      <c r="E133" s="44">
        <f t="shared" si="8"/>
        <v>0</v>
      </c>
      <c r="F133" s="44">
        <f t="shared" si="9"/>
        <v>0</v>
      </c>
      <c r="G133" s="44">
        <f t="shared" si="10"/>
        <v>0</v>
      </c>
      <c r="H133" s="44">
        <v>1</v>
      </c>
      <c r="I133" s="44">
        <f t="shared" si="11"/>
        <v>0</v>
      </c>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row>
    <row r="134" spans="1:46" x14ac:dyDescent="0.35">
      <c r="A134" s="44" t="s">
        <v>12</v>
      </c>
      <c r="B134" s="44"/>
      <c r="C134" s="216" t="s">
        <v>607</v>
      </c>
      <c r="D134" s="44" t="s">
        <v>279</v>
      </c>
      <c r="E134" s="44">
        <f t="shared" si="8"/>
        <v>0</v>
      </c>
      <c r="F134" s="44">
        <f t="shared" si="9"/>
        <v>0</v>
      </c>
      <c r="G134" s="44">
        <f t="shared" si="10"/>
        <v>0</v>
      </c>
      <c r="H134" s="44">
        <v>1</v>
      </c>
      <c r="I134" s="44">
        <f t="shared" si="11"/>
        <v>0</v>
      </c>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row>
    <row r="135" spans="1:46" x14ac:dyDescent="0.35">
      <c r="A135" s="44" t="s">
        <v>12</v>
      </c>
      <c r="B135" s="44"/>
      <c r="C135" s="216" t="s">
        <v>608</v>
      </c>
      <c r="D135" s="44" t="s">
        <v>278</v>
      </c>
      <c r="E135" s="44">
        <f t="shared" si="8"/>
        <v>0</v>
      </c>
      <c r="F135" s="44">
        <f t="shared" si="9"/>
        <v>0</v>
      </c>
      <c r="G135" s="44">
        <f t="shared" si="10"/>
        <v>0</v>
      </c>
      <c r="H135" s="44">
        <v>1</v>
      </c>
      <c r="I135" s="44">
        <f t="shared" si="11"/>
        <v>0</v>
      </c>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row>
    <row r="136" spans="1:46" x14ac:dyDescent="0.35">
      <c r="A136" s="44" t="s">
        <v>12</v>
      </c>
      <c r="B136" s="44"/>
      <c r="C136" s="216" t="s">
        <v>609</v>
      </c>
      <c r="D136" s="44" t="s">
        <v>280</v>
      </c>
      <c r="E136" s="44">
        <f t="shared" si="8"/>
        <v>0</v>
      </c>
      <c r="F136" s="44">
        <f t="shared" si="9"/>
        <v>0</v>
      </c>
      <c r="G136" s="44">
        <f t="shared" si="10"/>
        <v>0</v>
      </c>
      <c r="H136" s="44">
        <v>1</v>
      </c>
      <c r="I136" s="44">
        <f t="shared" si="11"/>
        <v>0</v>
      </c>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row>
    <row r="137" spans="1:46" x14ac:dyDescent="0.35">
      <c r="A137" s="44" t="s">
        <v>12</v>
      </c>
      <c r="B137" s="44"/>
      <c r="C137" s="218" t="s">
        <v>275</v>
      </c>
      <c r="D137" s="44"/>
      <c r="E137" s="44">
        <f t="shared" si="8"/>
        <v>0</v>
      </c>
      <c r="F137" s="44">
        <f t="shared" si="9"/>
        <v>0</v>
      </c>
      <c r="G137" s="44">
        <f t="shared" si="10"/>
        <v>0</v>
      </c>
      <c r="H137" s="44">
        <v>1</v>
      </c>
      <c r="I137" s="44">
        <f t="shared" si="11"/>
        <v>0</v>
      </c>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row>
    <row r="138" spans="1:46" x14ac:dyDescent="0.35">
      <c r="A138" s="44" t="s">
        <v>12</v>
      </c>
      <c r="B138" s="44"/>
      <c r="C138" s="216" t="s">
        <v>610</v>
      </c>
      <c r="D138" s="44" t="s">
        <v>198</v>
      </c>
      <c r="E138" s="44">
        <f t="shared" si="8"/>
        <v>0</v>
      </c>
      <c r="F138" s="44">
        <f t="shared" si="9"/>
        <v>0</v>
      </c>
      <c r="G138" s="44">
        <f t="shared" si="10"/>
        <v>0</v>
      </c>
      <c r="H138" s="44">
        <v>1</v>
      </c>
      <c r="I138" s="44">
        <f t="shared" si="11"/>
        <v>0</v>
      </c>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row>
    <row r="139" spans="1:46" x14ac:dyDescent="0.35">
      <c r="A139" s="44" t="s">
        <v>12</v>
      </c>
      <c r="B139" s="44"/>
      <c r="C139" s="216" t="s">
        <v>611</v>
      </c>
      <c r="D139" s="44" t="s">
        <v>459</v>
      </c>
      <c r="E139" s="44">
        <f t="shared" si="8"/>
        <v>0</v>
      </c>
      <c r="F139" s="44">
        <f t="shared" si="9"/>
        <v>0</v>
      </c>
      <c r="G139" s="44">
        <f t="shared" si="10"/>
        <v>0</v>
      </c>
      <c r="H139" s="44">
        <v>1</v>
      </c>
      <c r="I139" s="44">
        <f t="shared" si="11"/>
        <v>0</v>
      </c>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row>
    <row r="140" spans="1:46" x14ac:dyDescent="0.35">
      <c r="A140" s="44" t="s">
        <v>12</v>
      </c>
      <c r="B140" s="44"/>
      <c r="C140" s="216" t="s">
        <v>612</v>
      </c>
      <c r="D140" s="44" t="s">
        <v>227</v>
      </c>
      <c r="E140" s="44">
        <f t="shared" si="8"/>
        <v>0</v>
      </c>
      <c r="F140" s="44">
        <f t="shared" si="9"/>
        <v>0</v>
      </c>
      <c r="G140" s="44">
        <f t="shared" si="10"/>
        <v>0</v>
      </c>
      <c r="H140" s="44">
        <v>1</v>
      </c>
      <c r="I140" s="44">
        <f t="shared" si="11"/>
        <v>0</v>
      </c>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row>
    <row r="141" spans="1:46" x14ac:dyDescent="0.35">
      <c r="A141" s="44" t="s">
        <v>12</v>
      </c>
      <c r="B141" s="44"/>
      <c r="C141" s="216" t="s">
        <v>613</v>
      </c>
      <c r="D141" s="44" t="s">
        <v>279</v>
      </c>
      <c r="E141" s="44">
        <f t="shared" si="8"/>
        <v>0</v>
      </c>
      <c r="F141" s="44">
        <f t="shared" si="9"/>
        <v>0</v>
      </c>
      <c r="G141" s="44">
        <f t="shared" si="10"/>
        <v>0</v>
      </c>
      <c r="H141" s="44">
        <v>1</v>
      </c>
      <c r="I141" s="44">
        <f t="shared" si="11"/>
        <v>0</v>
      </c>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row>
    <row r="142" spans="1:46" x14ac:dyDescent="0.35">
      <c r="A142" s="44" t="s">
        <v>12</v>
      </c>
      <c r="B142" s="44"/>
      <c r="C142" s="216" t="s">
        <v>614</v>
      </c>
      <c r="D142" s="44" t="s">
        <v>278</v>
      </c>
      <c r="E142" s="44">
        <f t="shared" si="8"/>
        <v>0</v>
      </c>
      <c r="F142" s="44">
        <f t="shared" si="9"/>
        <v>0</v>
      </c>
      <c r="G142" s="44">
        <f t="shared" si="10"/>
        <v>0</v>
      </c>
      <c r="H142" s="44">
        <v>1</v>
      </c>
      <c r="I142" s="44">
        <f t="shared" si="11"/>
        <v>0</v>
      </c>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row>
    <row r="143" spans="1:46" x14ac:dyDescent="0.35">
      <c r="A143" s="44" t="s">
        <v>12</v>
      </c>
      <c r="B143" s="44"/>
      <c r="C143" s="216" t="s">
        <v>615</v>
      </c>
      <c r="D143" s="44" t="s">
        <v>280</v>
      </c>
      <c r="E143" s="44">
        <f t="shared" si="8"/>
        <v>0</v>
      </c>
      <c r="F143" s="44">
        <f t="shared" si="9"/>
        <v>0</v>
      </c>
      <c r="G143" s="44">
        <f t="shared" si="10"/>
        <v>0</v>
      </c>
      <c r="H143" s="44">
        <v>1</v>
      </c>
      <c r="I143" s="44">
        <f t="shared" si="11"/>
        <v>0</v>
      </c>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row>
    <row r="144" spans="1:46" x14ac:dyDescent="0.35">
      <c r="A144" s="44" t="s">
        <v>191</v>
      </c>
      <c r="B144" s="44"/>
      <c r="C144" s="218" t="s">
        <v>52</v>
      </c>
      <c r="D144" s="44"/>
      <c r="E144" s="44">
        <f t="shared" si="8"/>
        <v>0</v>
      </c>
      <c r="F144" s="44">
        <f t="shared" si="9"/>
        <v>0</v>
      </c>
      <c r="G144" s="44">
        <f t="shared" si="10"/>
        <v>0</v>
      </c>
      <c r="H144" s="44">
        <v>1</v>
      </c>
      <c r="I144" s="44">
        <f t="shared" si="11"/>
        <v>0</v>
      </c>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row>
    <row r="145" spans="1:46" x14ac:dyDescent="0.35">
      <c r="A145" s="44" t="s">
        <v>191</v>
      </c>
      <c r="B145" s="44"/>
      <c r="C145" s="216" t="s">
        <v>616</v>
      </c>
      <c r="D145" s="44" t="s">
        <v>198</v>
      </c>
      <c r="E145" s="44">
        <f t="shared" si="8"/>
        <v>0</v>
      </c>
      <c r="F145" s="44">
        <f t="shared" si="9"/>
        <v>0</v>
      </c>
      <c r="G145" s="44">
        <f t="shared" si="10"/>
        <v>0</v>
      </c>
      <c r="H145" s="44">
        <v>1</v>
      </c>
      <c r="I145" s="44">
        <f t="shared" si="11"/>
        <v>0</v>
      </c>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row>
    <row r="146" spans="1:46" x14ac:dyDescent="0.35">
      <c r="A146" s="44" t="s">
        <v>191</v>
      </c>
      <c r="B146" s="44"/>
      <c r="C146" s="216" t="s">
        <v>617</v>
      </c>
      <c r="D146" s="44" t="s">
        <v>459</v>
      </c>
      <c r="E146" s="44">
        <f t="shared" si="8"/>
        <v>0</v>
      </c>
      <c r="F146" s="44">
        <f t="shared" si="9"/>
        <v>0</v>
      </c>
      <c r="G146" s="44">
        <f t="shared" si="10"/>
        <v>0</v>
      </c>
      <c r="H146" s="44">
        <v>1</v>
      </c>
      <c r="I146" s="44">
        <f t="shared" si="11"/>
        <v>0</v>
      </c>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row>
    <row r="147" spans="1:46" x14ac:dyDescent="0.35">
      <c r="A147" s="44" t="s">
        <v>191</v>
      </c>
      <c r="B147" s="44"/>
      <c r="C147" s="216" t="s">
        <v>618</v>
      </c>
      <c r="D147" s="44" t="s">
        <v>227</v>
      </c>
      <c r="E147" s="44">
        <f t="shared" si="8"/>
        <v>0</v>
      </c>
      <c r="F147" s="44">
        <f t="shared" si="9"/>
        <v>0</v>
      </c>
      <c r="G147" s="44">
        <f t="shared" si="10"/>
        <v>0</v>
      </c>
      <c r="H147" s="44">
        <v>1</v>
      </c>
      <c r="I147" s="44">
        <f t="shared" si="11"/>
        <v>0</v>
      </c>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row>
    <row r="148" spans="1:46" x14ac:dyDescent="0.35">
      <c r="A148" s="44" t="s">
        <v>191</v>
      </c>
      <c r="B148" s="44"/>
      <c r="C148" s="216" t="s">
        <v>619</v>
      </c>
      <c r="D148" s="44" t="s">
        <v>279</v>
      </c>
      <c r="E148" s="44">
        <f t="shared" si="8"/>
        <v>0</v>
      </c>
      <c r="F148" s="44">
        <f t="shared" si="9"/>
        <v>0</v>
      </c>
      <c r="G148" s="44">
        <f t="shared" si="10"/>
        <v>0</v>
      </c>
      <c r="H148" s="44">
        <v>1</v>
      </c>
      <c r="I148" s="44">
        <f t="shared" si="11"/>
        <v>0</v>
      </c>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row>
    <row r="149" spans="1:46" x14ac:dyDescent="0.35">
      <c r="A149" s="44" t="s">
        <v>191</v>
      </c>
      <c r="B149" s="44"/>
      <c r="C149" s="216" t="s">
        <v>620</v>
      </c>
      <c r="D149" s="44" t="s">
        <v>278</v>
      </c>
      <c r="E149" s="44">
        <f t="shared" si="8"/>
        <v>0</v>
      </c>
      <c r="F149" s="44">
        <f t="shared" si="9"/>
        <v>0</v>
      </c>
      <c r="G149" s="44">
        <f t="shared" si="10"/>
        <v>0</v>
      </c>
      <c r="H149" s="44">
        <v>1</v>
      </c>
      <c r="I149" s="44">
        <f t="shared" si="11"/>
        <v>0</v>
      </c>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row>
    <row r="150" spans="1:46" x14ac:dyDescent="0.35">
      <c r="A150" s="44" t="s">
        <v>191</v>
      </c>
      <c r="B150" s="44"/>
      <c r="C150" s="216" t="s">
        <v>621</v>
      </c>
      <c r="D150" s="44" t="s">
        <v>280</v>
      </c>
      <c r="E150" s="44">
        <f t="shared" si="8"/>
        <v>0</v>
      </c>
      <c r="F150" s="44">
        <f t="shared" si="9"/>
        <v>0</v>
      </c>
      <c r="G150" s="44">
        <f t="shared" si="10"/>
        <v>0</v>
      </c>
      <c r="H150" s="44">
        <v>1</v>
      </c>
      <c r="I150" s="44">
        <f t="shared" si="11"/>
        <v>0</v>
      </c>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row>
    <row r="151" spans="1:46" x14ac:dyDescent="0.35">
      <c r="A151" s="44" t="s">
        <v>191</v>
      </c>
      <c r="B151" s="44"/>
      <c r="C151" s="218" t="s">
        <v>55</v>
      </c>
      <c r="D151" s="44"/>
      <c r="E151" s="44">
        <f t="shared" si="8"/>
        <v>0</v>
      </c>
      <c r="F151" s="44">
        <f t="shared" si="9"/>
        <v>0</v>
      </c>
      <c r="G151" s="44">
        <f t="shared" si="10"/>
        <v>0</v>
      </c>
      <c r="H151" s="44">
        <v>1</v>
      </c>
      <c r="I151" s="44">
        <f t="shared" si="11"/>
        <v>0</v>
      </c>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row>
    <row r="152" spans="1:46" x14ac:dyDescent="0.35">
      <c r="A152" s="44" t="s">
        <v>191</v>
      </c>
      <c r="B152" s="44"/>
      <c r="C152" s="216" t="s">
        <v>622</v>
      </c>
      <c r="D152" s="44" t="s">
        <v>198</v>
      </c>
      <c r="E152" s="44">
        <f t="shared" si="8"/>
        <v>0</v>
      </c>
      <c r="F152" s="44">
        <f t="shared" si="9"/>
        <v>0</v>
      </c>
      <c r="G152" s="44">
        <f t="shared" si="10"/>
        <v>0</v>
      </c>
      <c r="H152" s="44">
        <v>1</v>
      </c>
      <c r="I152" s="44">
        <f t="shared" si="11"/>
        <v>0</v>
      </c>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row>
    <row r="153" spans="1:46" x14ac:dyDescent="0.35">
      <c r="A153" s="44" t="s">
        <v>191</v>
      </c>
      <c r="B153" s="44"/>
      <c r="C153" s="216" t="s">
        <v>623</v>
      </c>
      <c r="D153" s="44" t="s">
        <v>459</v>
      </c>
      <c r="E153" s="44">
        <f t="shared" si="8"/>
        <v>0</v>
      </c>
      <c r="F153" s="44">
        <f t="shared" si="9"/>
        <v>0</v>
      </c>
      <c r="G153" s="44">
        <f t="shared" si="10"/>
        <v>0</v>
      </c>
      <c r="H153" s="44">
        <v>1</v>
      </c>
      <c r="I153" s="44">
        <f t="shared" si="11"/>
        <v>0</v>
      </c>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row>
    <row r="154" spans="1:46" x14ac:dyDescent="0.35">
      <c r="A154" s="44" t="s">
        <v>191</v>
      </c>
      <c r="B154" s="44"/>
      <c r="C154" s="216" t="s">
        <v>624</v>
      </c>
      <c r="D154" s="44" t="s">
        <v>227</v>
      </c>
      <c r="E154" s="44">
        <f t="shared" si="8"/>
        <v>0</v>
      </c>
      <c r="F154" s="44">
        <f t="shared" si="9"/>
        <v>0</v>
      </c>
      <c r="G154" s="44">
        <f t="shared" si="10"/>
        <v>0</v>
      </c>
      <c r="H154" s="44">
        <v>1</v>
      </c>
      <c r="I154" s="44">
        <f t="shared" si="11"/>
        <v>0</v>
      </c>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row>
    <row r="155" spans="1:46" x14ac:dyDescent="0.35">
      <c r="A155" s="44" t="s">
        <v>191</v>
      </c>
      <c r="B155" s="44"/>
      <c r="C155" s="216" t="s">
        <v>625</v>
      </c>
      <c r="D155" s="44" t="s">
        <v>279</v>
      </c>
      <c r="E155" s="44">
        <f t="shared" si="8"/>
        <v>0</v>
      </c>
      <c r="F155" s="44">
        <f t="shared" si="9"/>
        <v>0</v>
      </c>
      <c r="G155" s="44">
        <f t="shared" si="10"/>
        <v>0</v>
      </c>
      <c r="H155" s="44">
        <v>1</v>
      </c>
      <c r="I155" s="44">
        <f t="shared" si="11"/>
        <v>0</v>
      </c>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row>
    <row r="156" spans="1:46" x14ac:dyDescent="0.35">
      <c r="A156" s="44" t="s">
        <v>191</v>
      </c>
      <c r="B156" s="44"/>
      <c r="C156" s="216" t="s">
        <v>626</v>
      </c>
      <c r="D156" s="44" t="s">
        <v>278</v>
      </c>
      <c r="E156" s="44">
        <f t="shared" si="8"/>
        <v>0</v>
      </c>
      <c r="F156" s="44">
        <f t="shared" si="9"/>
        <v>0</v>
      </c>
      <c r="G156" s="44">
        <f t="shared" si="10"/>
        <v>0</v>
      </c>
      <c r="H156" s="44">
        <v>1</v>
      </c>
      <c r="I156" s="44">
        <f t="shared" si="11"/>
        <v>0</v>
      </c>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row>
    <row r="157" spans="1:46" x14ac:dyDescent="0.35">
      <c r="A157" s="44" t="s">
        <v>191</v>
      </c>
      <c r="B157" s="44"/>
      <c r="C157" s="216" t="s">
        <v>627</v>
      </c>
      <c r="D157" s="44" t="s">
        <v>280</v>
      </c>
      <c r="E157" s="44">
        <f t="shared" si="8"/>
        <v>0</v>
      </c>
      <c r="F157" s="44">
        <f t="shared" si="9"/>
        <v>0</v>
      </c>
      <c r="G157" s="44">
        <f t="shared" si="10"/>
        <v>0</v>
      </c>
      <c r="H157" s="44">
        <v>1</v>
      </c>
      <c r="I157" s="44">
        <f t="shared" si="11"/>
        <v>0</v>
      </c>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row>
    <row r="158" spans="1:46" x14ac:dyDescent="0.35">
      <c r="A158" s="44" t="s">
        <v>191</v>
      </c>
      <c r="B158" s="44"/>
      <c r="C158" s="218" t="s">
        <v>71</v>
      </c>
      <c r="D158" s="44"/>
      <c r="E158" s="44">
        <f t="shared" si="8"/>
        <v>0</v>
      </c>
      <c r="F158" s="44">
        <f t="shared" si="9"/>
        <v>0</v>
      </c>
      <c r="G158" s="44">
        <f t="shared" si="10"/>
        <v>0</v>
      </c>
      <c r="H158" s="44">
        <v>1</v>
      </c>
      <c r="I158" s="44">
        <f t="shared" si="11"/>
        <v>0</v>
      </c>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row>
    <row r="159" spans="1:46" x14ac:dyDescent="0.35">
      <c r="A159" s="44" t="s">
        <v>191</v>
      </c>
      <c r="B159" s="44"/>
      <c r="C159" s="216" t="s">
        <v>628</v>
      </c>
      <c r="D159" s="44" t="s">
        <v>198</v>
      </c>
      <c r="E159" s="44">
        <f t="shared" si="8"/>
        <v>0</v>
      </c>
      <c r="F159" s="44">
        <f t="shared" si="9"/>
        <v>0</v>
      </c>
      <c r="G159" s="44">
        <f t="shared" si="10"/>
        <v>0</v>
      </c>
      <c r="H159" s="44">
        <v>1</v>
      </c>
      <c r="I159" s="44">
        <f t="shared" si="11"/>
        <v>0</v>
      </c>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row>
    <row r="160" spans="1:46" x14ac:dyDescent="0.35">
      <c r="A160" s="44" t="s">
        <v>191</v>
      </c>
      <c r="B160" s="44"/>
      <c r="C160" s="216" t="s">
        <v>629</v>
      </c>
      <c r="D160" s="44" t="s">
        <v>459</v>
      </c>
      <c r="E160" s="44">
        <f t="shared" si="8"/>
        <v>0</v>
      </c>
      <c r="F160" s="44">
        <f t="shared" si="9"/>
        <v>0</v>
      </c>
      <c r="G160" s="44">
        <f t="shared" si="10"/>
        <v>0</v>
      </c>
      <c r="H160" s="44">
        <v>1</v>
      </c>
      <c r="I160" s="44">
        <f t="shared" si="11"/>
        <v>0</v>
      </c>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row>
    <row r="161" spans="1:46" x14ac:dyDescent="0.35">
      <c r="A161" s="44" t="s">
        <v>191</v>
      </c>
      <c r="B161" s="44"/>
      <c r="C161" s="216" t="s">
        <v>630</v>
      </c>
      <c r="D161" s="44" t="s">
        <v>227</v>
      </c>
      <c r="E161" s="44">
        <f t="shared" si="8"/>
        <v>0</v>
      </c>
      <c r="F161" s="44">
        <f t="shared" si="9"/>
        <v>0</v>
      </c>
      <c r="G161" s="44">
        <f t="shared" si="10"/>
        <v>0</v>
      </c>
      <c r="H161" s="44">
        <v>1</v>
      </c>
      <c r="I161" s="44">
        <f t="shared" si="11"/>
        <v>0</v>
      </c>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row>
    <row r="162" spans="1:46" x14ac:dyDescent="0.35">
      <c r="A162" s="44" t="s">
        <v>191</v>
      </c>
      <c r="B162" s="44"/>
      <c r="C162" s="216" t="s">
        <v>631</v>
      </c>
      <c r="D162" s="44" t="s">
        <v>279</v>
      </c>
      <c r="E162" s="44">
        <f t="shared" si="8"/>
        <v>0</v>
      </c>
      <c r="F162" s="44">
        <f t="shared" si="9"/>
        <v>0</v>
      </c>
      <c r="G162" s="44">
        <f t="shared" si="10"/>
        <v>0</v>
      </c>
      <c r="H162" s="44">
        <v>1</v>
      </c>
      <c r="I162" s="44">
        <f t="shared" si="11"/>
        <v>0</v>
      </c>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row>
    <row r="163" spans="1:46" x14ac:dyDescent="0.35">
      <c r="A163" s="44" t="s">
        <v>191</v>
      </c>
      <c r="B163" s="44"/>
      <c r="C163" s="216" t="s">
        <v>632</v>
      </c>
      <c r="D163" s="44" t="s">
        <v>278</v>
      </c>
      <c r="E163" s="44">
        <f t="shared" si="8"/>
        <v>0</v>
      </c>
      <c r="F163" s="44">
        <f t="shared" si="9"/>
        <v>0</v>
      </c>
      <c r="G163" s="44">
        <f t="shared" si="10"/>
        <v>0</v>
      </c>
      <c r="H163" s="44">
        <v>1</v>
      </c>
      <c r="I163" s="44">
        <f t="shared" si="11"/>
        <v>0</v>
      </c>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row>
    <row r="164" spans="1:46" x14ac:dyDescent="0.35">
      <c r="A164" s="44" t="s">
        <v>191</v>
      </c>
      <c r="B164" s="44"/>
      <c r="C164" s="216" t="s">
        <v>633</v>
      </c>
      <c r="D164" s="44" t="s">
        <v>280</v>
      </c>
      <c r="E164" s="44">
        <f t="shared" si="8"/>
        <v>0</v>
      </c>
      <c r="F164" s="44">
        <f t="shared" si="9"/>
        <v>0</v>
      </c>
      <c r="G164" s="44">
        <f t="shared" si="10"/>
        <v>0</v>
      </c>
      <c r="H164" s="44">
        <v>1</v>
      </c>
      <c r="I164" s="44">
        <f t="shared" si="11"/>
        <v>0</v>
      </c>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row>
    <row r="165" spans="1:46" x14ac:dyDescent="0.35">
      <c r="A165" s="44" t="s">
        <v>191</v>
      </c>
      <c r="B165" s="44"/>
      <c r="C165" s="218" t="s">
        <v>189</v>
      </c>
      <c r="D165" s="44"/>
      <c r="E165" s="44">
        <f t="shared" si="8"/>
        <v>0</v>
      </c>
      <c r="F165" s="44">
        <f t="shared" si="9"/>
        <v>0</v>
      </c>
      <c r="G165" s="44">
        <f t="shared" si="10"/>
        <v>0</v>
      </c>
      <c r="H165" s="44">
        <v>1</v>
      </c>
      <c r="I165" s="44">
        <f t="shared" si="11"/>
        <v>0</v>
      </c>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row>
    <row r="166" spans="1:46" x14ac:dyDescent="0.35">
      <c r="A166" s="44" t="s">
        <v>191</v>
      </c>
      <c r="B166" s="44"/>
      <c r="C166" s="216" t="s">
        <v>634</v>
      </c>
      <c r="D166" s="44" t="s">
        <v>198</v>
      </c>
      <c r="E166" s="44">
        <f t="shared" si="8"/>
        <v>0</v>
      </c>
      <c r="F166" s="44">
        <f t="shared" si="9"/>
        <v>0</v>
      </c>
      <c r="G166" s="44">
        <f t="shared" si="10"/>
        <v>0</v>
      </c>
      <c r="H166" s="44">
        <v>1</v>
      </c>
      <c r="I166" s="44">
        <f t="shared" si="11"/>
        <v>0</v>
      </c>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row>
    <row r="167" spans="1:46" x14ac:dyDescent="0.35">
      <c r="A167" s="44" t="s">
        <v>191</v>
      </c>
      <c r="B167" s="44"/>
      <c r="C167" s="216" t="s">
        <v>635</v>
      </c>
      <c r="D167" s="44" t="s">
        <v>459</v>
      </c>
      <c r="E167" s="44">
        <f t="shared" si="8"/>
        <v>0</v>
      </c>
      <c r="F167" s="44">
        <f t="shared" si="9"/>
        <v>0</v>
      </c>
      <c r="G167" s="44">
        <f t="shared" si="10"/>
        <v>0</v>
      </c>
      <c r="H167" s="44">
        <v>1</v>
      </c>
      <c r="I167" s="44">
        <f t="shared" si="11"/>
        <v>0</v>
      </c>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row>
    <row r="168" spans="1:46" x14ac:dyDescent="0.35">
      <c r="A168" s="44" t="s">
        <v>191</v>
      </c>
      <c r="B168" s="44"/>
      <c r="C168" s="216" t="s">
        <v>636</v>
      </c>
      <c r="D168" s="44" t="s">
        <v>227</v>
      </c>
      <c r="E168" s="44">
        <f t="shared" si="8"/>
        <v>0</v>
      </c>
      <c r="F168" s="44">
        <f t="shared" si="9"/>
        <v>0</v>
      </c>
      <c r="G168" s="44">
        <f t="shared" si="10"/>
        <v>0</v>
      </c>
      <c r="H168" s="44">
        <v>1</v>
      </c>
      <c r="I168" s="44">
        <f t="shared" si="11"/>
        <v>0</v>
      </c>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row>
    <row r="169" spans="1:46" x14ac:dyDescent="0.35">
      <c r="A169" s="44" t="s">
        <v>191</v>
      </c>
      <c r="B169" s="44"/>
      <c r="C169" s="216" t="s">
        <v>637</v>
      </c>
      <c r="D169" s="44" t="s">
        <v>279</v>
      </c>
      <c r="E169" s="44">
        <f t="shared" si="8"/>
        <v>0</v>
      </c>
      <c r="F169" s="44">
        <f t="shared" si="9"/>
        <v>0</v>
      </c>
      <c r="G169" s="44">
        <f t="shared" si="10"/>
        <v>0</v>
      </c>
      <c r="H169" s="44">
        <v>1</v>
      </c>
      <c r="I169" s="44">
        <f t="shared" si="11"/>
        <v>0</v>
      </c>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row>
    <row r="170" spans="1:46" x14ac:dyDescent="0.35">
      <c r="A170" s="44" t="s">
        <v>191</v>
      </c>
      <c r="B170" s="44"/>
      <c r="C170" s="216" t="s">
        <v>638</v>
      </c>
      <c r="D170" s="44" t="s">
        <v>278</v>
      </c>
      <c r="E170" s="44">
        <f t="shared" si="8"/>
        <v>0</v>
      </c>
      <c r="F170" s="44">
        <f t="shared" si="9"/>
        <v>0</v>
      </c>
      <c r="G170" s="44">
        <f t="shared" si="10"/>
        <v>0</v>
      </c>
      <c r="H170" s="44">
        <v>1</v>
      </c>
      <c r="I170" s="44">
        <f t="shared" si="11"/>
        <v>0</v>
      </c>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row>
    <row r="171" spans="1:46" x14ac:dyDescent="0.35">
      <c r="A171" s="44" t="s">
        <v>191</v>
      </c>
      <c r="B171" s="44"/>
      <c r="C171" s="216" t="s">
        <v>639</v>
      </c>
      <c r="D171" s="44" t="s">
        <v>280</v>
      </c>
      <c r="E171" s="44">
        <f t="shared" si="8"/>
        <v>0</v>
      </c>
      <c r="F171" s="44">
        <f t="shared" si="9"/>
        <v>0</v>
      </c>
      <c r="G171" s="44">
        <f t="shared" si="10"/>
        <v>0</v>
      </c>
      <c r="H171" s="44">
        <v>1</v>
      </c>
      <c r="I171" s="44">
        <f t="shared" si="11"/>
        <v>0</v>
      </c>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row>
    <row r="172" spans="1:46" x14ac:dyDescent="0.35">
      <c r="A172" s="44" t="s">
        <v>191</v>
      </c>
      <c r="B172" s="44"/>
      <c r="C172" s="218" t="s">
        <v>78</v>
      </c>
      <c r="D172" s="44"/>
      <c r="E172" s="44">
        <f t="shared" si="8"/>
        <v>0</v>
      </c>
      <c r="F172" s="44">
        <f t="shared" si="9"/>
        <v>0</v>
      </c>
      <c r="G172" s="44">
        <f t="shared" si="10"/>
        <v>0</v>
      </c>
      <c r="H172" s="44">
        <v>1</v>
      </c>
      <c r="I172" s="44">
        <f t="shared" si="11"/>
        <v>0</v>
      </c>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row>
    <row r="173" spans="1:46" x14ac:dyDescent="0.35">
      <c r="A173" s="44" t="s">
        <v>191</v>
      </c>
      <c r="B173" s="44"/>
      <c r="C173" s="216" t="s">
        <v>640</v>
      </c>
      <c r="D173" s="44" t="s">
        <v>198</v>
      </c>
      <c r="E173" s="44">
        <f t="shared" si="8"/>
        <v>0</v>
      </c>
      <c r="F173" s="44">
        <f t="shared" si="9"/>
        <v>0</v>
      </c>
      <c r="G173" s="44">
        <f t="shared" si="10"/>
        <v>0</v>
      </c>
      <c r="H173" s="44">
        <v>1</v>
      </c>
      <c r="I173" s="44">
        <f t="shared" si="11"/>
        <v>0</v>
      </c>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row>
    <row r="174" spans="1:46" x14ac:dyDescent="0.35">
      <c r="A174" s="44" t="s">
        <v>191</v>
      </c>
      <c r="B174" s="44"/>
      <c r="C174" s="216" t="s">
        <v>641</v>
      </c>
      <c r="D174" s="44" t="s">
        <v>459</v>
      </c>
      <c r="E174" s="44">
        <f t="shared" si="8"/>
        <v>0</v>
      </c>
      <c r="F174" s="44">
        <f t="shared" si="9"/>
        <v>0</v>
      </c>
      <c r="G174" s="44">
        <f t="shared" si="10"/>
        <v>0</v>
      </c>
      <c r="H174" s="44">
        <v>1</v>
      </c>
      <c r="I174" s="44">
        <f t="shared" si="11"/>
        <v>0</v>
      </c>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row>
    <row r="175" spans="1:46" x14ac:dyDescent="0.35">
      <c r="A175" s="44" t="s">
        <v>191</v>
      </c>
      <c r="B175" s="44"/>
      <c r="C175" s="216" t="s">
        <v>642</v>
      </c>
      <c r="D175" s="44" t="s">
        <v>227</v>
      </c>
      <c r="E175" s="44">
        <f t="shared" si="8"/>
        <v>0</v>
      </c>
      <c r="F175" s="44">
        <f t="shared" si="9"/>
        <v>0</v>
      </c>
      <c r="G175" s="44">
        <f t="shared" si="10"/>
        <v>0</v>
      </c>
      <c r="H175" s="44">
        <v>1</v>
      </c>
      <c r="I175" s="44">
        <f t="shared" si="11"/>
        <v>0</v>
      </c>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row>
    <row r="176" spans="1:46" x14ac:dyDescent="0.35">
      <c r="A176" s="44" t="s">
        <v>191</v>
      </c>
      <c r="B176" s="44"/>
      <c r="C176" s="216" t="s">
        <v>643</v>
      </c>
      <c r="D176" s="44" t="s">
        <v>279</v>
      </c>
      <c r="E176" s="44">
        <f t="shared" si="8"/>
        <v>0</v>
      </c>
      <c r="F176" s="44">
        <f t="shared" si="9"/>
        <v>0</v>
      </c>
      <c r="G176" s="44">
        <f t="shared" si="10"/>
        <v>0</v>
      </c>
      <c r="H176" s="44">
        <v>1</v>
      </c>
      <c r="I176" s="44">
        <f t="shared" si="11"/>
        <v>0</v>
      </c>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row>
    <row r="177" spans="1:46" x14ac:dyDescent="0.35">
      <c r="A177" s="44" t="s">
        <v>191</v>
      </c>
      <c r="B177" s="44"/>
      <c r="C177" s="216" t="s">
        <v>644</v>
      </c>
      <c r="D177" s="44" t="s">
        <v>278</v>
      </c>
      <c r="E177" s="44">
        <f t="shared" si="8"/>
        <v>0</v>
      </c>
      <c r="F177" s="44">
        <f t="shared" si="9"/>
        <v>0</v>
      </c>
      <c r="G177" s="44">
        <f t="shared" si="10"/>
        <v>0</v>
      </c>
      <c r="H177" s="44">
        <v>1</v>
      </c>
      <c r="I177" s="44">
        <f t="shared" si="11"/>
        <v>0</v>
      </c>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row>
    <row r="178" spans="1:46" x14ac:dyDescent="0.35">
      <c r="A178" s="44" t="s">
        <v>191</v>
      </c>
      <c r="B178" s="44"/>
      <c r="C178" s="216" t="s">
        <v>645</v>
      </c>
      <c r="D178" s="44" t="s">
        <v>280</v>
      </c>
      <c r="E178" s="44">
        <f t="shared" si="8"/>
        <v>0</v>
      </c>
      <c r="F178" s="44">
        <f t="shared" si="9"/>
        <v>0</v>
      </c>
      <c r="G178" s="44">
        <f t="shared" si="10"/>
        <v>0</v>
      </c>
      <c r="H178" s="44">
        <v>1</v>
      </c>
      <c r="I178" s="44">
        <f t="shared" si="11"/>
        <v>0</v>
      </c>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row>
    <row r="179" spans="1:46" x14ac:dyDescent="0.35">
      <c r="A179" s="44" t="s">
        <v>191</v>
      </c>
      <c r="B179" s="44"/>
      <c r="C179" s="218" t="s">
        <v>80</v>
      </c>
      <c r="D179" s="44"/>
      <c r="E179" s="44">
        <f t="shared" si="8"/>
        <v>0</v>
      </c>
      <c r="F179" s="44">
        <f t="shared" si="9"/>
        <v>0</v>
      </c>
      <c r="G179" s="44">
        <f t="shared" si="10"/>
        <v>0</v>
      </c>
      <c r="H179" s="44">
        <v>1</v>
      </c>
      <c r="I179" s="44">
        <f t="shared" si="11"/>
        <v>0</v>
      </c>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row>
    <row r="180" spans="1:46" x14ac:dyDescent="0.35">
      <c r="A180" s="44" t="s">
        <v>191</v>
      </c>
      <c r="B180" s="44"/>
      <c r="C180" s="216" t="s">
        <v>646</v>
      </c>
      <c r="D180" s="44" t="s">
        <v>198</v>
      </c>
      <c r="E180" s="44">
        <f t="shared" si="8"/>
        <v>0</v>
      </c>
      <c r="F180" s="44">
        <f t="shared" si="9"/>
        <v>0</v>
      </c>
      <c r="G180" s="44">
        <f t="shared" si="10"/>
        <v>0</v>
      </c>
      <c r="H180" s="44">
        <v>1</v>
      </c>
      <c r="I180" s="44">
        <f t="shared" si="11"/>
        <v>0</v>
      </c>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row>
    <row r="181" spans="1:46" x14ac:dyDescent="0.35">
      <c r="A181" s="44" t="s">
        <v>191</v>
      </c>
      <c r="B181" s="44"/>
      <c r="C181" s="216" t="s">
        <v>647</v>
      </c>
      <c r="D181" s="44" t="s">
        <v>459</v>
      </c>
      <c r="E181" s="44">
        <f t="shared" si="8"/>
        <v>0</v>
      </c>
      <c r="F181" s="44">
        <f t="shared" si="9"/>
        <v>0</v>
      </c>
      <c r="G181" s="44">
        <f t="shared" si="10"/>
        <v>0</v>
      </c>
      <c r="H181" s="44">
        <v>1</v>
      </c>
      <c r="I181" s="44">
        <f t="shared" si="11"/>
        <v>0</v>
      </c>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row>
    <row r="182" spans="1:46" x14ac:dyDescent="0.35">
      <c r="A182" s="44" t="s">
        <v>191</v>
      </c>
      <c r="B182" s="44"/>
      <c r="C182" s="216" t="s">
        <v>648</v>
      </c>
      <c r="D182" s="44" t="s">
        <v>227</v>
      </c>
      <c r="E182" s="44">
        <f t="shared" si="8"/>
        <v>0</v>
      </c>
      <c r="F182" s="44">
        <f t="shared" si="9"/>
        <v>0</v>
      </c>
      <c r="G182" s="44">
        <f t="shared" si="10"/>
        <v>0</v>
      </c>
      <c r="H182" s="44">
        <v>1</v>
      </c>
      <c r="I182" s="44">
        <f t="shared" si="11"/>
        <v>0</v>
      </c>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row>
    <row r="183" spans="1:46" x14ac:dyDescent="0.35">
      <c r="A183" s="44" t="s">
        <v>191</v>
      </c>
      <c r="B183" s="44"/>
      <c r="C183" s="216" t="s">
        <v>649</v>
      </c>
      <c r="D183" s="44" t="s">
        <v>279</v>
      </c>
      <c r="E183" s="44">
        <f t="shared" si="8"/>
        <v>0</v>
      </c>
      <c r="F183" s="44">
        <f t="shared" si="9"/>
        <v>0</v>
      </c>
      <c r="G183" s="44">
        <f t="shared" si="10"/>
        <v>0</v>
      </c>
      <c r="H183" s="44">
        <v>1</v>
      </c>
      <c r="I183" s="44">
        <f t="shared" si="11"/>
        <v>0</v>
      </c>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row>
    <row r="184" spans="1:46" x14ac:dyDescent="0.35">
      <c r="A184" s="44" t="s">
        <v>191</v>
      </c>
      <c r="B184" s="44"/>
      <c r="C184" s="216" t="s">
        <v>650</v>
      </c>
      <c r="D184" s="44" t="s">
        <v>278</v>
      </c>
      <c r="E184" s="44">
        <f t="shared" si="8"/>
        <v>0</v>
      </c>
      <c r="F184" s="44">
        <f t="shared" si="9"/>
        <v>0</v>
      </c>
      <c r="G184" s="44">
        <f t="shared" si="10"/>
        <v>0</v>
      </c>
      <c r="H184" s="44">
        <v>1</v>
      </c>
      <c r="I184" s="44">
        <f t="shared" si="11"/>
        <v>0</v>
      </c>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row>
    <row r="185" spans="1:46" x14ac:dyDescent="0.35">
      <c r="A185" s="44" t="s">
        <v>191</v>
      </c>
      <c r="B185" s="44"/>
      <c r="C185" s="216" t="s">
        <v>651</v>
      </c>
      <c r="D185" s="44" t="s">
        <v>280</v>
      </c>
      <c r="E185" s="44">
        <f t="shared" si="8"/>
        <v>0</v>
      </c>
      <c r="F185" s="44">
        <f t="shared" si="9"/>
        <v>0</v>
      </c>
      <c r="G185" s="44">
        <f t="shared" si="10"/>
        <v>0</v>
      </c>
      <c r="H185" s="44">
        <v>1</v>
      </c>
      <c r="I185" s="44">
        <f t="shared" si="11"/>
        <v>0</v>
      </c>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row>
    <row r="186" spans="1:46" x14ac:dyDescent="0.35">
      <c r="A186" s="44" t="s">
        <v>191</v>
      </c>
      <c r="B186" s="44"/>
      <c r="C186" s="218" t="s">
        <v>82</v>
      </c>
      <c r="D186" s="44"/>
      <c r="E186" s="44">
        <f t="shared" si="8"/>
        <v>0</v>
      </c>
      <c r="F186" s="44">
        <f t="shared" si="9"/>
        <v>0</v>
      </c>
      <c r="G186" s="44">
        <f t="shared" si="10"/>
        <v>0</v>
      </c>
      <c r="H186" s="44">
        <v>1</v>
      </c>
      <c r="I186" s="44">
        <f t="shared" si="11"/>
        <v>0</v>
      </c>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row>
    <row r="187" spans="1:46" x14ac:dyDescent="0.35">
      <c r="A187" s="44" t="s">
        <v>191</v>
      </c>
      <c r="B187" s="44"/>
      <c r="C187" s="216" t="s">
        <v>652</v>
      </c>
      <c r="D187" s="44" t="s">
        <v>198</v>
      </c>
      <c r="E187" s="44">
        <f t="shared" si="8"/>
        <v>0</v>
      </c>
      <c r="F187" s="44">
        <f t="shared" si="9"/>
        <v>0</v>
      </c>
      <c r="G187" s="44">
        <f t="shared" si="10"/>
        <v>0</v>
      </c>
      <c r="H187" s="44">
        <v>1</v>
      </c>
      <c r="I187" s="44">
        <f t="shared" si="11"/>
        <v>0</v>
      </c>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row>
    <row r="188" spans="1:46" x14ac:dyDescent="0.35">
      <c r="A188" s="44" t="s">
        <v>191</v>
      </c>
      <c r="B188" s="44"/>
      <c r="C188" s="216" t="s">
        <v>653</v>
      </c>
      <c r="D188" s="44" t="s">
        <v>459</v>
      </c>
      <c r="E188" s="44">
        <f t="shared" si="8"/>
        <v>0</v>
      </c>
      <c r="F188" s="44">
        <f t="shared" si="9"/>
        <v>0</v>
      </c>
      <c r="G188" s="44">
        <f t="shared" si="10"/>
        <v>0</v>
      </c>
      <c r="H188" s="44">
        <v>1</v>
      </c>
      <c r="I188" s="44">
        <f t="shared" si="11"/>
        <v>0</v>
      </c>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row>
    <row r="189" spans="1:46" x14ac:dyDescent="0.35">
      <c r="A189" s="44" t="s">
        <v>191</v>
      </c>
      <c r="B189" s="44"/>
      <c r="C189" s="216" t="s">
        <v>654</v>
      </c>
      <c r="D189" s="44" t="s">
        <v>227</v>
      </c>
      <c r="E189" s="44">
        <f t="shared" si="8"/>
        <v>0</v>
      </c>
      <c r="F189" s="44">
        <f t="shared" si="9"/>
        <v>0</v>
      </c>
      <c r="G189" s="44">
        <f t="shared" si="10"/>
        <v>0</v>
      </c>
      <c r="H189" s="44">
        <v>1</v>
      </c>
      <c r="I189" s="44">
        <f t="shared" si="11"/>
        <v>0</v>
      </c>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row>
    <row r="190" spans="1:46" x14ac:dyDescent="0.35">
      <c r="A190" s="44" t="s">
        <v>191</v>
      </c>
      <c r="B190" s="44"/>
      <c r="C190" s="216" t="s">
        <v>655</v>
      </c>
      <c r="D190" s="44" t="s">
        <v>279</v>
      </c>
      <c r="E190" s="44">
        <f t="shared" si="8"/>
        <v>0</v>
      </c>
      <c r="F190" s="44">
        <f t="shared" si="9"/>
        <v>0</v>
      </c>
      <c r="G190" s="44">
        <f t="shared" si="10"/>
        <v>0</v>
      </c>
      <c r="H190" s="44">
        <v>1</v>
      </c>
      <c r="I190" s="44">
        <f t="shared" si="11"/>
        <v>0</v>
      </c>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row>
    <row r="191" spans="1:46" x14ac:dyDescent="0.35">
      <c r="A191" s="44" t="s">
        <v>191</v>
      </c>
      <c r="B191" s="44"/>
      <c r="C191" s="216" t="s">
        <v>656</v>
      </c>
      <c r="D191" s="44" t="s">
        <v>278</v>
      </c>
      <c r="E191" s="44">
        <f t="shared" si="8"/>
        <v>0</v>
      </c>
      <c r="F191" s="44">
        <f t="shared" si="9"/>
        <v>0</v>
      </c>
      <c r="G191" s="44">
        <f t="shared" si="10"/>
        <v>0</v>
      </c>
      <c r="H191" s="44">
        <v>1</v>
      </c>
      <c r="I191" s="44">
        <f t="shared" si="11"/>
        <v>0</v>
      </c>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row>
    <row r="192" spans="1:46" x14ac:dyDescent="0.35">
      <c r="A192" s="44" t="s">
        <v>191</v>
      </c>
      <c r="B192" s="44"/>
      <c r="C192" s="216" t="s">
        <v>657</v>
      </c>
      <c r="D192" s="44" t="s">
        <v>280</v>
      </c>
      <c r="E192" s="44">
        <f t="shared" si="8"/>
        <v>0</v>
      </c>
      <c r="F192" s="44">
        <f t="shared" si="9"/>
        <v>0</v>
      </c>
      <c r="G192" s="44">
        <f t="shared" si="10"/>
        <v>0</v>
      </c>
      <c r="H192" s="44">
        <v>1</v>
      </c>
      <c r="I192" s="44">
        <f t="shared" si="11"/>
        <v>0</v>
      </c>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row>
    <row r="193" spans="1:46" x14ac:dyDescent="0.35">
      <c r="A193" s="44" t="s">
        <v>191</v>
      </c>
      <c r="B193" s="44"/>
      <c r="C193" s="218" t="s">
        <v>84</v>
      </c>
      <c r="D193" s="44"/>
      <c r="E193" s="44">
        <f t="shared" si="8"/>
        <v>0</v>
      </c>
      <c r="F193" s="44">
        <f t="shared" si="9"/>
        <v>0</v>
      </c>
      <c r="G193" s="44">
        <f t="shared" si="10"/>
        <v>0</v>
      </c>
      <c r="H193" s="44">
        <v>1</v>
      </c>
      <c r="I193" s="44">
        <f t="shared" si="11"/>
        <v>0</v>
      </c>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row>
    <row r="194" spans="1:46" x14ac:dyDescent="0.35">
      <c r="A194" s="44" t="s">
        <v>191</v>
      </c>
      <c r="B194" s="44"/>
      <c r="C194" s="216" t="s">
        <v>658</v>
      </c>
      <c r="D194" s="44" t="s">
        <v>198</v>
      </c>
      <c r="E194" s="44">
        <f t="shared" si="8"/>
        <v>0</v>
      </c>
      <c r="F194" s="44">
        <f t="shared" si="9"/>
        <v>0</v>
      </c>
      <c r="G194" s="44">
        <f t="shared" si="10"/>
        <v>0</v>
      </c>
      <c r="H194" s="44">
        <v>1</v>
      </c>
      <c r="I194" s="44">
        <f t="shared" si="11"/>
        <v>0</v>
      </c>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row>
    <row r="195" spans="1:46" x14ac:dyDescent="0.35">
      <c r="A195" s="44" t="s">
        <v>191</v>
      </c>
      <c r="B195" s="44"/>
      <c r="C195" s="216" t="s">
        <v>659</v>
      </c>
      <c r="D195" s="44" t="s">
        <v>459</v>
      </c>
      <c r="E195" s="44">
        <f t="shared" si="8"/>
        <v>0</v>
      </c>
      <c r="F195" s="44">
        <f t="shared" si="9"/>
        <v>0</v>
      </c>
      <c r="G195" s="44">
        <f t="shared" si="10"/>
        <v>0</v>
      </c>
      <c r="H195" s="44">
        <v>1</v>
      </c>
      <c r="I195" s="44">
        <f t="shared" si="11"/>
        <v>0</v>
      </c>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row>
    <row r="196" spans="1:46" x14ac:dyDescent="0.35">
      <c r="A196" s="44" t="s">
        <v>191</v>
      </c>
      <c r="B196" s="44"/>
      <c r="C196" s="216" t="s">
        <v>660</v>
      </c>
      <c r="D196" s="44" t="s">
        <v>227</v>
      </c>
      <c r="E196" s="44">
        <f t="shared" ref="E196:E255" si="12">G196*160</f>
        <v>0</v>
      </c>
      <c r="F196" s="44">
        <f t="shared" ref="F196:F255" si="13">E196/8</f>
        <v>0</v>
      </c>
      <c r="G196" s="44">
        <f t="shared" ref="G196:G255" si="14">COUNTIF(K196:AT196, "-")*H196</f>
        <v>0</v>
      </c>
      <c r="H196" s="44">
        <v>1</v>
      </c>
      <c r="I196" s="44">
        <f t="shared" ref="I196:I255" si="15">E196*54</f>
        <v>0</v>
      </c>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row>
    <row r="197" spans="1:46" x14ac:dyDescent="0.35">
      <c r="A197" s="44" t="s">
        <v>191</v>
      </c>
      <c r="B197" s="44"/>
      <c r="C197" s="216" t="s">
        <v>661</v>
      </c>
      <c r="D197" s="44" t="s">
        <v>279</v>
      </c>
      <c r="E197" s="44">
        <f t="shared" si="12"/>
        <v>0</v>
      </c>
      <c r="F197" s="44">
        <f t="shared" si="13"/>
        <v>0</v>
      </c>
      <c r="G197" s="44">
        <f t="shared" si="14"/>
        <v>0</v>
      </c>
      <c r="H197" s="44">
        <v>1</v>
      </c>
      <c r="I197" s="44">
        <f t="shared" si="15"/>
        <v>0</v>
      </c>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row>
    <row r="198" spans="1:46" x14ac:dyDescent="0.35">
      <c r="A198" s="44" t="s">
        <v>191</v>
      </c>
      <c r="B198" s="44"/>
      <c r="C198" s="216" t="s">
        <v>662</v>
      </c>
      <c r="D198" s="44" t="s">
        <v>278</v>
      </c>
      <c r="E198" s="44">
        <f t="shared" si="12"/>
        <v>0</v>
      </c>
      <c r="F198" s="44">
        <f t="shared" si="13"/>
        <v>0</v>
      </c>
      <c r="G198" s="44">
        <f t="shared" si="14"/>
        <v>0</v>
      </c>
      <c r="H198" s="44">
        <v>1</v>
      </c>
      <c r="I198" s="44">
        <f t="shared" si="15"/>
        <v>0</v>
      </c>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row>
    <row r="199" spans="1:46" x14ac:dyDescent="0.35">
      <c r="A199" s="44" t="s">
        <v>191</v>
      </c>
      <c r="B199" s="44"/>
      <c r="C199" s="216" t="s">
        <v>663</v>
      </c>
      <c r="D199" s="44" t="s">
        <v>280</v>
      </c>
      <c r="E199" s="44">
        <f t="shared" si="12"/>
        <v>0</v>
      </c>
      <c r="F199" s="44">
        <f t="shared" si="13"/>
        <v>0</v>
      </c>
      <c r="G199" s="44">
        <f t="shared" si="14"/>
        <v>0</v>
      </c>
      <c r="H199" s="44">
        <v>1</v>
      </c>
      <c r="I199" s="44">
        <f t="shared" si="15"/>
        <v>0</v>
      </c>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row>
    <row r="200" spans="1:46" x14ac:dyDescent="0.35">
      <c r="A200" s="44" t="s">
        <v>191</v>
      </c>
      <c r="B200" s="44"/>
      <c r="C200" s="218" t="s">
        <v>87</v>
      </c>
      <c r="D200" s="44"/>
      <c r="E200" s="44">
        <f t="shared" si="12"/>
        <v>0</v>
      </c>
      <c r="F200" s="44">
        <f t="shared" si="13"/>
        <v>0</v>
      </c>
      <c r="G200" s="44">
        <f t="shared" si="14"/>
        <v>0</v>
      </c>
      <c r="H200" s="44">
        <v>1</v>
      </c>
      <c r="I200" s="44">
        <f t="shared" si="15"/>
        <v>0</v>
      </c>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row>
    <row r="201" spans="1:46" x14ac:dyDescent="0.35">
      <c r="A201" s="44" t="s">
        <v>191</v>
      </c>
      <c r="B201" s="44"/>
      <c r="C201" s="216" t="s">
        <v>664</v>
      </c>
      <c r="D201" s="44" t="s">
        <v>198</v>
      </c>
      <c r="E201" s="44">
        <f t="shared" si="12"/>
        <v>0</v>
      </c>
      <c r="F201" s="44">
        <f t="shared" si="13"/>
        <v>0</v>
      </c>
      <c r="G201" s="44">
        <f t="shared" si="14"/>
        <v>0</v>
      </c>
      <c r="H201" s="44">
        <v>1</v>
      </c>
      <c r="I201" s="44">
        <f t="shared" si="15"/>
        <v>0</v>
      </c>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row>
    <row r="202" spans="1:46" x14ac:dyDescent="0.35">
      <c r="A202" s="44" t="s">
        <v>191</v>
      </c>
      <c r="B202" s="44"/>
      <c r="C202" s="216" t="s">
        <v>665</v>
      </c>
      <c r="D202" s="44" t="s">
        <v>459</v>
      </c>
      <c r="E202" s="44">
        <f t="shared" si="12"/>
        <v>0</v>
      </c>
      <c r="F202" s="44">
        <f t="shared" si="13"/>
        <v>0</v>
      </c>
      <c r="G202" s="44">
        <f t="shared" si="14"/>
        <v>0</v>
      </c>
      <c r="H202" s="44">
        <v>1</v>
      </c>
      <c r="I202" s="44">
        <f t="shared" si="15"/>
        <v>0</v>
      </c>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row>
    <row r="203" spans="1:46" x14ac:dyDescent="0.35">
      <c r="A203" s="44" t="s">
        <v>191</v>
      </c>
      <c r="B203" s="44"/>
      <c r="C203" s="216" t="s">
        <v>666</v>
      </c>
      <c r="D203" s="44" t="s">
        <v>227</v>
      </c>
      <c r="E203" s="44">
        <f t="shared" si="12"/>
        <v>0</v>
      </c>
      <c r="F203" s="44">
        <f t="shared" si="13"/>
        <v>0</v>
      </c>
      <c r="G203" s="44">
        <f t="shared" si="14"/>
        <v>0</v>
      </c>
      <c r="H203" s="44">
        <v>1</v>
      </c>
      <c r="I203" s="44">
        <f t="shared" si="15"/>
        <v>0</v>
      </c>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row>
    <row r="204" spans="1:46" x14ac:dyDescent="0.35">
      <c r="A204" s="44" t="s">
        <v>191</v>
      </c>
      <c r="B204" s="44"/>
      <c r="C204" s="216" t="s">
        <v>667</v>
      </c>
      <c r="D204" s="44" t="s">
        <v>279</v>
      </c>
      <c r="E204" s="44">
        <f t="shared" si="12"/>
        <v>0</v>
      </c>
      <c r="F204" s="44">
        <f t="shared" si="13"/>
        <v>0</v>
      </c>
      <c r="G204" s="44">
        <f t="shared" si="14"/>
        <v>0</v>
      </c>
      <c r="H204" s="44">
        <v>1</v>
      </c>
      <c r="I204" s="44">
        <f t="shared" si="15"/>
        <v>0</v>
      </c>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row>
    <row r="205" spans="1:46" x14ac:dyDescent="0.35">
      <c r="A205" s="44" t="s">
        <v>191</v>
      </c>
      <c r="B205" s="44"/>
      <c r="C205" s="216" t="s">
        <v>668</v>
      </c>
      <c r="D205" s="44" t="s">
        <v>278</v>
      </c>
      <c r="E205" s="44">
        <f t="shared" si="12"/>
        <v>0</v>
      </c>
      <c r="F205" s="44">
        <f t="shared" si="13"/>
        <v>0</v>
      </c>
      <c r="G205" s="44">
        <f t="shared" si="14"/>
        <v>0</v>
      </c>
      <c r="H205" s="44">
        <v>1</v>
      </c>
      <c r="I205" s="44">
        <f t="shared" si="15"/>
        <v>0</v>
      </c>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row>
    <row r="206" spans="1:46" x14ac:dyDescent="0.35">
      <c r="A206" s="44" t="s">
        <v>191</v>
      </c>
      <c r="B206" s="44"/>
      <c r="C206" s="216" t="s">
        <v>669</v>
      </c>
      <c r="D206" s="44" t="s">
        <v>280</v>
      </c>
      <c r="E206" s="44">
        <f t="shared" si="12"/>
        <v>0</v>
      </c>
      <c r="F206" s="44">
        <f t="shared" si="13"/>
        <v>0</v>
      </c>
      <c r="G206" s="44">
        <f t="shared" si="14"/>
        <v>0</v>
      </c>
      <c r="H206" s="44">
        <v>1</v>
      </c>
      <c r="I206" s="44">
        <f t="shared" si="15"/>
        <v>0</v>
      </c>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row>
    <row r="207" spans="1:46" x14ac:dyDescent="0.35">
      <c r="A207" s="44" t="s">
        <v>191</v>
      </c>
      <c r="B207" s="44"/>
      <c r="C207" s="218" t="s">
        <v>91</v>
      </c>
      <c r="D207" s="44"/>
      <c r="E207" s="44">
        <f t="shared" si="12"/>
        <v>0</v>
      </c>
      <c r="F207" s="44">
        <f t="shared" si="13"/>
        <v>0</v>
      </c>
      <c r="G207" s="44">
        <f t="shared" si="14"/>
        <v>0</v>
      </c>
      <c r="H207" s="44">
        <v>1</v>
      </c>
      <c r="I207" s="44">
        <f t="shared" si="15"/>
        <v>0</v>
      </c>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row>
    <row r="208" spans="1:46" x14ac:dyDescent="0.35">
      <c r="A208" s="44" t="s">
        <v>191</v>
      </c>
      <c r="B208" s="44"/>
      <c r="C208" s="216" t="s">
        <v>670</v>
      </c>
      <c r="D208" s="44" t="s">
        <v>198</v>
      </c>
      <c r="E208" s="44">
        <f t="shared" si="12"/>
        <v>0</v>
      </c>
      <c r="F208" s="44">
        <f t="shared" si="13"/>
        <v>0</v>
      </c>
      <c r="G208" s="44">
        <f t="shared" si="14"/>
        <v>0</v>
      </c>
      <c r="H208" s="44">
        <v>1</v>
      </c>
      <c r="I208" s="44">
        <f t="shared" si="15"/>
        <v>0</v>
      </c>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row>
    <row r="209" spans="1:46" x14ac:dyDescent="0.35">
      <c r="A209" s="44" t="s">
        <v>191</v>
      </c>
      <c r="B209" s="44"/>
      <c r="C209" s="216" t="s">
        <v>671</v>
      </c>
      <c r="D209" s="44" t="s">
        <v>459</v>
      </c>
      <c r="E209" s="44">
        <f t="shared" si="12"/>
        <v>0</v>
      </c>
      <c r="F209" s="44">
        <f t="shared" si="13"/>
        <v>0</v>
      </c>
      <c r="G209" s="44">
        <f t="shared" si="14"/>
        <v>0</v>
      </c>
      <c r="H209" s="44">
        <v>1</v>
      </c>
      <c r="I209" s="44">
        <f t="shared" si="15"/>
        <v>0</v>
      </c>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row>
    <row r="210" spans="1:46" x14ac:dyDescent="0.35">
      <c r="A210" s="44" t="s">
        <v>191</v>
      </c>
      <c r="B210" s="44"/>
      <c r="C210" s="216" t="s">
        <v>672</v>
      </c>
      <c r="D210" s="44" t="s">
        <v>227</v>
      </c>
      <c r="E210" s="44">
        <f t="shared" si="12"/>
        <v>0</v>
      </c>
      <c r="F210" s="44">
        <f t="shared" si="13"/>
        <v>0</v>
      </c>
      <c r="G210" s="44">
        <f t="shared" si="14"/>
        <v>0</v>
      </c>
      <c r="H210" s="44">
        <v>1</v>
      </c>
      <c r="I210" s="44">
        <f t="shared" si="15"/>
        <v>0</v>
      </c>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row>
    <row r="211" spans="1:46" x14ac:dyDescent="0.35">
      <c r="A211" s="44" t="s">
        <v>191</v>
      </c>
      <c r="B211" s="44"/>
      <c r="C211" s="216" t="s">
        <v>673</v>
      </c>
      <c r="D211" s="44" t="s">
        <v>279</v>
      </c>
      <c r="E211" s="44">
        <f t="shared" si="12"/>
        <v>0</v>
      </c>
      <c r="F211" s="44">
        <f t="shared" si="13"/>
        <v>0</v>
      </c>
      <c r="G211" s="44">
        <f t="shared" si="14"/>
        <v>0</v>
      </c>
      <c r="H211" s="44">
        <v>1</v>
      </c>
      <c r="I211" s="44">
        <f t="shared" si="15"/>
        <v>0</v>
      </c>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row>
    <row r="212" spans="1:46" x14ac:dyDescent="0.35">
      <c r="A212" s="44" t="s">
        <v>191</v>
      </c>
      <c r="B212" s="44"/>
      <c r="C212" s="216" t="s">
        <v>674</v>
      </c>
      <c r="D212" s="44" t="s">
        <v>278</v>
      </c>
      <c r="E212" s="44">
        <f t="shared" si="12"/>
        <v>0</v>
      </c>
      <c r="F212" s="44">
        <f t="shared" si="13"/>
        <v>0</v>
      </c>
      <c r="G212" s="44">
        <f t="shared" si="14"/>
        <v>0</v>
      </c>
      <c r="H212" s="44">
        <v>1</v>
      </c>
      <c r="I212" s="44">
        <f t="shared" si="15"/>
        <v>0</v>
      </c>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row>
    <row r="213" spans="1:46" x14ac:dyDescent="0.35">
      <c r="A213" s="44" t="s">
        <v>191</v>
      </c>
      <c r="B213" s="44"/>
      <c r="C213" s="216" t="s">
        <v>675</v>
      </c>
      <c r="D213" s="44" t="s">
        <v>280</v>
      </c>
      <c r="E213" s="44">
        <f t="shared" si="12"/>
        <v>0</v>
      </c>
      <c r="F213" s="44">
        <f t="shared" si="13"/>
        <v>0</v>
      </c>
      <c r="G213" s="44">
        <f t="shared" si="14"/>
        <v>0</v>
      </c>
      <c r="H213" s="44">
        <v>1</v>
      </c>
      <c r="I213" s="44">
        <f t="shared" si="15"/>
        <v>0</v>
      </c>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row>
    <row r="214" spans="1:46" x14ac:dyDescent="0.35">
      <c r="A214" s="44" t="s">
        <v>191</v>
      </c>
      <c r="B214" s="44"/>
      <c r="C214" s="218" t="s">
        <v>106</v>
      </c>
      <c r="D214" s="44"/>
      <c r="E214" s="44">
        <f t="shared" si="12"/>
        <v>0</v>
      </c>
      <c r="F214" s="44">
        <f t="shared" si="13"/>
        <v>0</v>
      </c>
      <c r="G214" s="44">
        <f t="shared" si="14"/>
        <v>0</v>
      </c>
      <c r="H214" s="44">
        <v>1</v>
      </c>
      <c r="I214" s="44">
        <f t="shared" si="15"/>
        <v>0</v>
      </c>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row>
    <row r="215" spans="1:46" x14ac:dyDescent="0.35">
      <c r="A215" s="44" t="s">
        <v>191</v>
      </c>
      <c r="B215" s="44"/>
      <c r="C215" s="216" t="s">
        <v>676</v>
      </c>
      <c r="D215" s="44" t="s">
        <v>198</v>
      </c>
      <c r="E215" s="44">
        <f t="shared" si="12"/>
        <v>0</v>
      </c>
      <c r="F215" s="44">
        <f t="shared" si="13"/>
        <v>0</v>
      </c>
      <c r="G215" s="44">
        <f t="shared" si="14"/>
        <v>0</v>
      </c>
      <c r="H215" s="44">
        <v>1</v>
      </c>
      <c r="I215" s="44">
        <f t="shared" si="15"/>
        <v>0</v>
      </c>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row>
    <row r="216" spans="1:46" x14ac:dyDescent="0.35">
      <c r="A216" s="44" t="s">
        <v>191</v>
      </c>
      <c r="B216" s="44"/>
      <c r="C216" s="216" t="s">
        <v>677</v>
      </c>
      <c r="D216" s="44" t="s">
        <v>459</v>
      </c>
      <c r="E216" s="44">
        <f t="shared" si="12"/>
        <v>0</v>
      </c>
      <c r="F216" s="44">
        <f t="shared" si="13"/>
        <v>0</v>
      </c>
      <c r="G216" s="44">
        <f t="shared" si="14"/>
        <v>0</v>
      </c>
      <c r="H216" s="44">
        <v>1</v>
      </c>
      <c r="I216" s="44">
        <f t="shared" si="15"/>
        <v>0</v>
      </c>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row>
    <row r="217" spans="1:46" x14ac:dyDescent="0.35">
      <c r="A217" s="44" t="s">
        <v>191</v>
      </c>
      <c r="B217" s="44"/>
      <c r="C217" s="216" t="s">
        <v>678</v>
      </c>
      <c r="D217" s="44" t="s">
        <v>227</v>
      </c>
      <c r="E217" s="44">
        <f t="shared" si="12"/>
        <v>0</v>
      </c>
      <c r="F217" s="44">
        <f t="shared" si="13"/>
        <v>0</v>
      </c>
      <c r="G217" s="44">
        <f t="shared" si="14"/>
        <v>0</v>
      </c>
      <c r="H217" s="44">
        <v>1</v>
      </c>
      <c r="I217" s="44">
        <f t="shared" si="15"/>
        <v>0</v>
      </c>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row>
    <row r="218" spans="1:46" x14ac:dyDescent="0.35">
      <c r="A218" s="44" t="s">
        <v>191</v>
      </c>
      <c r="B218" s="44"/>
      <c r="C218" s="216" t="s">
        <v>679</v>
      </c>
      <c r="D218" s="44" t="s">
        <v>279</v>
      </c>
      <c r="E218" s="44">
        <f t="shared" si="12"/>
        <v>0</v>
      </c>
      <c r="F218" s="44">
        <f t="shared" si="13"/>
        <v>0</v>
      </c>
      <c r="G218" s="44">
        <f t="shared" si="14"/>
        <v>0</v>
      </c>
      <c r="H218" s="44">
        <v>1</v>
      </c>
      <c r="I218" s="44">
        <f t="shared" si="15"/>
        <v>0</v>
      </c>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row>
    <row r="219" spans="1:46" x14ac:dyDescent="0.35">
      <c r="A219" s="44" t="s">
        <v>191</v>
      </c>
      <c r="B219" s="44"/>
      <c r="C219" s="216" t="s">
        <v>680</v>
      </c>
      <c r="D219" s="44" t="s">
        <v>278</v>
      </c>
      <c r="E219" s="44">
        <f t="shared" si="12"/>
        <v>0</v>
      </c>
      <c r="F219" s="44">
        <f t="shared" si="13"/>
        <v>0</v>
      </c>
      <c r="G219" s="44">
        <f t="shared" si="14"/>
        <v>0</v>
      </c>
      <c r="H219" s="44">
        <v>1</v>
      </c>
      <c r="I219" s="44">
        <f t="shared" si="15"/>
        <v>0</v>
      </c>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row>
    <row r="220" spans="1:46" x14ac:dyDescent="0.35">
      <c r="A220" s="44" t="s">
        <v>191</v>
      </c>
      <c r="B220" s="44"/>
      <c r="C220" s="216" t="s">
        <v>681</v>
      </c>
      <c r="D220" s="44" t="s">
        <v>280</v>
      </c>
      <c r="E220" s="44">
        <f t="shared" si="12"/>
        <v>0</v>
      </c>
      <c r="F220" s="44">
        <f t="shared" si="13"/>
        <v>0</v>
      </c>
      <c r="G220" s="44">
        <f t="shared" si="14"/>
        <v>0</v>
      </c>
      <c r="H220" s="44">
        <v>1</v>
      </c>
      <c r="I220" s="44">
        <f t="shared" si="15"/>
        <v>0</v>
      </c>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row>
    <row r="221" spans="1:46" x14ac:dyDescent="0.35">
      <c r="A221" s="44" t="s">
        <v>191</v>
      </c>
      <c r="B221" s="44"/>
      <c r="C221" s="218" t="s">
        <v>111</v>
      </c>
      <c r="D221" s="44"/>
      <c r="E221" s="44">
        <f t="shared" si="12"/>
        <v>0</v>
      </c>
      <c r="F221" s="44">
        <f t="shared" si="13"/>
        <v>0</v>
      </c>
      <c r="G221" s="44">
        <f t="shared" si="14"/>
        <v>0</v>
      </c>
      <c r="H221" s="44">
        <v>1</v>
      </c>
      <c r="I221" s="44">
        <f t="shared" si="15"/>
        <v>0</v>
      </c>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row>
    <row r="222" spans="1:46" x14ac:dyDescent="0.35">
      <c r="A222" s="44" t="s">
        <v>191</v>
      </c>
      <c r="B222" s="44"/>
      <c r="C222" s="216" t="s">
        <v>682</v>
      </c>
      <c r="D222" s="44" t="s">
        <v>198</v>
      </c>
      <c r="E222" s="44">
        <f t="shared" si="12"/>
        <v>0</v>
      </c>
      <c r="F222" s="44">
        <f t="shared" si="13"/>
        <v>0</v>
      </c>
      <c r="G222" s="44">
        <f t="shared" si="14"/>
        <v>0</v>
      </c>
      <c r="H222" s="44">
        <v>1</v>
      </c>
      <c r="I222" s="44">
        <f t="shared" si="15"/>
        <v>0</v>
      </c>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row>
    <row r="223" spans="1:46" x14ac:dyDescent="0.35">
      <c r="A223" s="44" t="s">
        <v>191</v>
      </c>
      <c r="B223" s="44"/>
      <c r="C223" s="216" t="s">
        <v>683</v>
      </c>
      <c r="D223" s="44" t="s">
        <v>459</v>
      </c>
      <c r="E223" s="44">
        <f t="shared" si="12"/>
        <v>0</v>
      </c>
      <c r="F223" s="44">
        <f t="shared" si="13"/>
        <v>0</v>
      </c>
      <c r="G223" s="44">
        <f t="shared" si="14"/>
        <v>0</v>
      </c>
      <c r="H223" s="44">
        <v>1</v>
      </c>
      <c r="I223" s="44">
        <f t="shared" si="15"/>
        <v>0</v>
      </c>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row>
    <row r="224" spans="1:46" x14ac:dyDescent="0.35">
      <c r="A224" s="44" t="s">
        <v>191</v>
      </c>
      <c r="B224" s="44"/>
      <c r="C224" s="216" t="s">
        <v>684</v>
      </c>
      <c r="D224" s="44" t="s">
        <v>227</v>
      </c>
      <c r="E224" s="44">
        <f t="shared" si="12"/>
        <v>0</v>
      </c>
      <c r="F224" s="44">
        <f t="shared" si="13"/>
        <v>0</v>
      </c>
      <c r="G224" s="44">
        <f t="shared" si="14"/>
        <v>0</v>
      </c>
      <c r="H224" s="44">
        <v>1</v>
      </c>
      <c r="I224" s="44">
        <f t="shared" si="15"/>
        <v>0</v>
      </c>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row>
    <row r="225" spans="1:46" x14ac:dyDescent="0.35">
      <c r="A225" s="44" t="s">
        <v>191</v>
      </c>
      <c r="B225" s="44"/>
      <c r="C225" s="216" t="s">
        <v>685</v>
      </c>
      <c r="D225" s="44" t="s">
        <v>279</v>
      </c>
      <c r="E225" s="44">
        <f t="shared" si="12"/>
        <v>0</v>
      </c>
      <c r="F225" s="44">
        <f t="shared" si="13"/>
        <v>0</v>
      </c>
      <c r="G225" s="44">
        <f t="shared" si="14"/>
        <v>0</v>
      </c>
      <c r="H225" s="44">
        <v>1</v>
      </c>
      <c r="I225" s="44">
        <f t="shared" si="15"/>
        <v>0</v>
      </c>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row>
    <row r="226" spans="1:46" x14ac:dyDescent="0.35">
      <c r="A226" s="44" t="s">
        <v>191</v>
      </c>
      <c r="B226" s="44"/>
      <c r="C226" s="216" t="s">
        <v>686</v>
      </c>
      <c r="D226" s="44" t="s">
        <v>278</v>
      </c>
      <c r="E226" s="44">
        <f t="shared" si="12"/>
        <v>0</v>
      </c>
      <c r="F226" s="44">
        <f t="shared" si="13"/>
        <v>0</v>
      </c>
      <c r="G226" s="44">
        <f t="shared" si="14"/>
        <v>0</v>
      </c>
      <c r="H226" s="44">
        <v>1</v>
      </c>
      <c r="I226" s="44">
        <f t="shared" si="15"/>
        <v>0</v>
      </c>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row>
    <row r="227" spans="1:46" x14ac:dyDescent="0.35">
      <c r="A227" s="44" t="s">
        <v>191</v>
      </c>
      <c r="B227" s="44"/>
      <c r="C227" s="216" t="s">
        <v>687</v>
      </c>
      <c r="D227" s="44" t="s">
        <v>280</v>
      </c>
      <c r="E227" s="44">
        <f t="shared" si="12"/>
        <v>0</v>
      </c>
      <c r="F227" s="44">
        <f t="shared" si="13"/>
        <v>0</v>
      </c>
      <c r="G227" s="44">
        <f t="shared" si="14"/>
        <v>0</v>
      </c>
      <c r="H227" s="44">
        <v>1</v>
      </c>
      <c r="I227" s="44">
        <f t="shared" si="15"/>
        <v>0</v>
      </c>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row>
    <row r="228" spans="1:46" x14ac:dyDescent="0.35">
      <c r="A228" s="44" t="s">
        <v>191</v>
      </c>
      <c r="B228" s="44"/>
      <c r="C228" s="218" t="s">
        <v>114</v>
      </c>
      <c r="D228" s="44"/>
      <c r="E228" s="44">
        <f t="shared" si="12"/>
        <v>0</v>
      </c>
      <c r="F228" s="44">
        <f t="shared" si="13"/>
        <v>0</v>
      </c>
      <c r="G228" s="44">
        <f t="shared" si="14"/>
        <v>0</v>
      </c>
      <c r="H228" s="44">
        <v>1</v>
      </c>
      <c r="I228" s="44">
        <f t="shared" si="15"/>
        <v>0</v>
      </c>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row>
    <row r="229" spans="1:46" x14ac:dyDescent="0.35">
      <c r="A229" s="44" t="s">
        <v>191</v>
      </c>
      <c r="B229" s="44"/>
      <c r="C229" s="216" t="s">
        <v>688</v>
      </c>
      <c r="D229" s="44" t="s">
        <v>198</v>
      </c>
      <c r="E229" s="44">
        <f t="shared" si="12"/>
        <v>0</v>
      </c>
      <c r="F229" s="44">
        <f t="shared" si="13"/>
        <v>0</v>
      </c>
      <c r="G229" s="44">
        <f t="shared" si="14"/>
        <v>0</v>
      </c>
      <c r="H229" s="44">
        <v>1</v>
      </c>
      <c r="I229" s="44">
        <f t="shared" si="15"/>
        <v>0</v>
      </c>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row>
    <row r="230" spans="1:46" x14ac:dyDescent="0.35">
      <c r="A230" s="44" t="s">
        <v>191</v>
      </c>
      <c r="B230" s="44"/>
      <c r="C230" s="216" t="s">
        <v>689</v>
      </c>
      <c r="D230" s="44" t="s">
        <v>459</v>
      </c>
      <c r="E230" s="44">
        <f t="shared" si="12"/>
        <v>0</v>
      </c>
      <c r="F230" s="44">
        <f t="shared" si="13"/>
        <v>0</v>
      </c>
      <c r="G230" s="44">
        <f t="shared" si="14"/>
        <v>0</v>
      </c>
      <c r="H230" s="44">
        <v>1</v>
      </c>
      <c r="I230" s="44">
        <f t="shared" si="15"/>
        <v>0</v>
      </c>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row>
    <row r="231" spans="1:46" x14ac:dyDescent="0.35">
      <c r="A231" s="44" t="s">
        <v>191</v>
      </c>
      <c r="B231" s="44"/>
      <c r="C231" s="216" t="s">
        <v>690</v>
      </c>
      <c r="D231" s="44" t="s">
        <v>227</v>
      </c>
      <c r="E231" s="44">
        <f t="shared" si="12"/>
        <v>0</v>
      </c>
      <c r="F231" s="44">
        <f t="shared" si="13"/>
        <v>0</v>
      </c>
      <c r="G231" s="44">
        <f t="shared" si="14"/>
        <v>0</v>
      </c>
      <c r="H231" s="44">
        <v>1</v>
      </c>
      <c r="I231" s="44">
        <f t="shared" si="15"/>
        <v>0</v>
      </c>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row>
    <row r="232" spans="1:46" x14ac:dyDescent="0.35">
      <c r="A232" s="44" t="s">
        <v>191</v>
      </c>
      <c r="B232" s="44"/>
      <c r="C232" s="216" t="s">
        <v>691</v>
      </c>
      <c r="D232" s="44" t="s">
        <v>279</v>
      </c>
      <c r="E232" s="44">
        <f t="shared" si="12"/>
        <v>0</v>
      </c>
      <c r="F232" s="44">
        <f t="shared" si="13"/>
        <v>0</v>
      </c>
      <c r="G232" s="44">
        <f t="shared" si="14"/>
        <v>0</v>
      </c>
      <c r="H232" s="44">
        <v>1</v>
      </c>
      <c r="I232" s="44">
        <f t="shared" si="15"/>
        <v>0</v>
      </c>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row>
    <row r="233" spans="1:46" x14ac:dyDescent="0.35">
      <c r="A233" s="44" t="s">
        <v>191</v>
      </c>
      <c r="B233" s="44"/>
      <c r="C233" s="216" t="s">
        <v>692</v>
      </c>
      <c r="D233" s="44" t="s">
        <v>278</v>
      </c>
      <c r="E233" s="44">
        <f t="shared" si="12"/>
        <v>0</v>
      </c>
      <c r="F233" s="44">
        <f t="shared" si="13"/>
        <v>0</v>
      </c>
      <c r="G233" s="44">
        <f t="shared" si="14"/>
        <v>0</v>
      </c>
      <c r="H233" s="44">
        <v>1</v>
      </c>
      <c r="I233" s="44">
        <f t="shared" si="15"/>
        <v>0</v>
      </c>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row>
    <row r="234" spans="1:46" x14ac:dyDescent="0.35">
      <c r="A234" s="44" t="s">
        <v>191</v>
      </c>
      <c r="B234" s="44"/>
      <c r="C234" s="216" t="s">
        <v>693</v>
      </c>
      <c r="D234" s="44" t="s">
        <v>280</v>
      </c>
      <c r="E234" s="44">
        <f t="shared" si="12"/>
        <v>0</v>
      </c>
      <c r="F234" s="44">
        <f t="shared" si="13"/>
        <v>0</v>
      </c>
      <c r="G234" s="44">
        <f t="shared" si="14"/>
        <v>0</v>
      </c>
      <c r="H234" s="44">
        <v>1</v>
      </c>
      <c r="I234" s="44">
        <f t="shared" si="15"/>
        <v>0</v>
      </c>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row>
    <row r="235" spans="1:46" x14ac:dyDescent="0.35">
      <c r="A235" s="44" t="s">
        <v>191</v>
      </c>
      <c r="B235" s="44"/>
      <c r="C235" s="218" t="s">
        <v>117</v>
      </c>
      <c r="D235" s="44"/>
      <c r="E235" s="44">
        <f t="shared" si="12"/>
        <v>0</v>
      </c>
      <c r="F235" s="44">
        <f t="shared" si="13"/>
        <v>0</v>
      </c>
      <c r="G235" s="44">
        <f t="shared" si="14"/>
        <v>0</v>
      </c>
      <c r="H235" s="44">
        <v>1</v>
      </c>
      <c r="I235" s="44">
        <f t="shared" si="15"/>
        <v>0</v>
      </c>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row>
    <row r="236" spans="1:46" x14ac:dyDescent="0.35">
      <c r="A236" s="44" t="s">
        <v>191</v>
      </c>
      <c r="B236" s="44"/>
      <c r="C236" s="216" t="s">
        <v>694</v>
      </c>
      <c r="D236" s="44" t="s">
        <v>198</v>
      </c>
      <c r="E236" s="44">
        <f t="shared" si="12"/>
        <v>0</v>
      </c>
      <c r="F236" s="44">
        <f t="shared" si="13"/>
        <v>0</v>
      </c>
      <c r="G236" s="44">
        <f t="shared" si="14"/>
        <v>0</v>
      </c>
      <c r="H236" s="44">
        <v>1</v>
      </c>
      <c r="I236" s="44">
        <f t="shared" si="15"/>
        <v>0</v>
      </c>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row>
    <row r="237" spans="1:46" x14ac:dyDescent="0.35">
      <c r="A237" s="44" t="s">
        <v>191</v>
      </c>
      <c r="B237" s="44"/>
      <c r="C237" s="216" t="s">
        <v>695</v>
      </c>
      <c r="D237" s="44" t="s">
        <v>459</v>
      </c>
      <c r="E237" s="44">
        <f t="shared" si="12"/>
        <v>0</v>
      </c>
      <c r="F237" s="44">
        <f t="shared" si="13"/>
        <v>0</v>
      </c>
      <c r="G237" s="44">
        <f t="shared" si="14"/>
        <v>0</v>
      </c>
      <c r="H237" s="44">
        <v>1</v>
      </c>
      <c r="I237" s="44">
        <f t="shared" si="15"/>
        <v>0</v>
      </c>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row>
    <row r="238" spans="1:46" x14ac:dyDescent="0.35">
      <c r="A238" s="44" t="s">
        <v>191</v>
      </c>
      <c r="B238" s="44"/>
      <c r="C238" s="216" t="s">
        <v>696</v>
      </c>
      <c r="D238" s="44" t="s">
        <v>227</v>
      </c>
      <c r="E238" s="44">
        <f t="shared" si="12"/>
        <v>0</v>
      </c>
      <c r="F238" s="44">
        <f t="shared" si="13"/>
        <v>0</v>
      </c>
      <c r="G238" s="44">
        <f t="shared" si="14"/>
        <v>0</v>
      </c>
      <c r="H238" s="44">
        <v>1</v>
      </c>
      <c r="I238" s="44">
        <f t="shared" si="15"/>
        <v>0</v>
      </c>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row>
    <row r="239" spans="1:46" x14ac:dyDescent="0.35">
      <c r="A239" s="44" t="s">
        <v>191</v>
      </c>
      <c r="B239" s="44"/>
      <c r="C239" s="216" t="s">
        <v>697</v>
      </c>
      <c r="D239" s="44" t="s">
        <v>279</v>
      </c>
      <c r="E239" s="44">
        <f t="shared" si="12"/>
        <v>0</v>
      </c>
      <c r="F239" s="44">
        <f t="shared" si="13"/>
        <v>0</v>
      </c>
      <c r="G239" s="44">
        <f t="shared" si="14"/>
        <v>0</v>
      </c>
      <c r="H239" s="44">
        <v>1</v>
      </c>
      <c r="I239" s="44">
        <f t="shared" si="15"/>
        <v>0</v>
      </c>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row>
    <row r="240" spans="1:46" x14ac:dyDescent="0.35">
      <c r="A240" s="44" t="s">
        <v>191</v>
      </c>
      <c r="B240" s="44"/>
      <c r="C240" s="216" t="s">
        <v>698</v>
      </c>
      <c r="D240" s="44" t="s">
        <v>278</v>
      </c>
      <c r="E240" s="44">
        <f t="shared" si="12"/>
        <v>0</v>
      </c>
      <c r="F240" s="44">
        <f t="shared" si="13"/>
        <v>0</v>
      </c>
      <c r="G240" s="44">
        <f t="shared" si="14"/>
        <v>0</v>
      </c>
      <c r="H240" s="44">
        <v>1</v>
      </c>
      <c r="I240" s="44">
        <f t="shared" si="15"/>
        <v>0</v>
      </c>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row>
    <row r="241" spans="1:46" x14ac:dyDescent="0.35">
      <c r="A241" s="44" t="s">
        <v>191</v>
      </c>
      <c r="B241" s="44"/>
      <c r="C241" s="216" t="s">
        <v>699</v>
      </c>
      <c r="D241" s="44" t="s">
        <v>280</v>
      </c>
      <c r="E241" s="44">
        <f t="shared" si="12"/>
        <v>0</v>
      </c>
      <c r="F241" s="44">
        <f t="shared" si="13"/>
        <v>0</v>
      </c>
      <c r="G241" s="44">
        <f t="shared" si="14"/>
        <v>0</v>
      </c>
      <c r="H241" s="44">
        <v>1</v>
      </c>
      <c r="I241" s="44">
        <f t="shared" si="15"/>
        <v>0</v>
      </c>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row>
    <row r="242" spans="1:46" x14ac:dyDescent="0.35">
      <c r="A242" s="44" t="s">
        <v>191</v>
      </c>
      <c r="B242" s="44"/>
      <c r="C242" s="218" t="s">
        <v>126</v>
      </c>
      <c r="D242" s="44"/>
      <c r="E242" s="44">
        <f t="shared" si="12"/>
        <v>0</v>
      </c>
      <c r="F242" s="44">
        <f t="shared" si="13"/>
        <v>0</v>
      </c>
      <c r="G242" s="44">
        <f t="shared" si="14"/>
        <v>0</v>
      </c>
      <c r="H242" s="44">
        <v>1</v>
      </c>
      <c r="I242" s="44">
        <f t="shared" si="15"/>
        <v>0</v>
      </c>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row>
    <row r="243" spans="1:46" x14ac:dyDescent="0.35">
      <c r="A243" s="44" t="s">
        <v>191</v>
      </c>
      <c r="B243" s="44"/>
      <c r="C243" s="216" t="s">
        <v>700</v>
      </c>
      <c r="D243" s="44" t="s">
        <v>198</v>
      </c>
      <c r="E243" s="44">
        <f t="shared" si="12"/>
        <v>0</v>
      </c>
      <c r="F243" s="44">
        <f t="shared" si="13"/>
        <v>0</v>
      </c>
      <c r="G243" s="44">
        <f t="shared" si="14"/>
        <v>0</v>
      </c>
      <c r="H243" s="44">
        <v>1</v>
      </c>
      <c r="I243" s="44">
        <f t="shared" si="15"/>
        <v>0</v>
      </c>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row>
    <row r="244" spans="1:46" x14ac:dyDescent="0.35">
      <c r="A244" s="44" t="s">
        <v>191</v>
      </c>
      <c r="B244" s="44"/>
      <c r="C244" s="216" t="s">
        <v>701</v>
      </c>
      <c r="D244" s="44" t="s">
        <v>459</v>
      </c>
      <c r="E244" s="44">
        <f t="shared" si="12"/>
        <v>0</v>
      </c>
      <c r="F244" s="44">
        <f t="shared" si="13"/>
        <v>0</v>
      </c>
      <c r="G244" s="44">
        <f t="shared" si="14"/>
        <v>0</v>
      </c>
      <c r="H244" s="44">
        <v>1</v>
      </c>
      <c r="I244" s="44">
        <f t="shared" si="15"/>
        <v>0</v>
      </c>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row>
    <row r="245" spans="1:46" x14ac:dyDescent="0.35">
      <c r="A245" s="44" t="s">
        <v>191</v>
      </c>
      <c r="B245" s="44"/>
      <c r="C245" s="216" t="s">
        <v>702</v>
      </c>
      <c r="D245" s="44" t="s">
        <v>227</v>
      </c>
      <c r="E245" s="44">
        <f t="shared" si="12"/>
        <v>0</v>
      </c>
      <c r="F245" s="44">
        <f t="shared" si="13"/>
        <v>0</v>
      </c>
      <c r="G245" s="44">
        <f t="shared" si="14"/>
        <v>0</v>
      </c>
      <c r="H245" s="44">
        <v>1</v>
      </c>
      <c r="I245" s="44">
        <f t="shared" si="15"/>
        <v>0</v>
      </c>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row>
    <row r="246" spans="1:46" x14ac:dyDescent="0.35">
      <c r="A246" s="44" t="s">
        <v>191</v>
      </c>
      <c r="B246" s="44"/>
      <c r="C246" s="216" t="s">
        <v>703</v>
      </c>
      <c r="D246" s="44" t="s">
        <v>279</v>
      </c>
      <c r="E246" s="44">
        <f t="shared" si="12"/>
        <v>0</v>
      </c>
      <c r="F246" s="44">
        <f t="shared" si="13"/>
        <v>0</v>
      </c>
      <c r="G246" s="44">
        <f t="shared" si="14"/>
        <v>0</v>
      </c>
      <c r="H246" s="44">
        <v>1</v>
      </c>
      <c r="I246" s="44">
        <f t="shared" si="15"/>
        <v>0</v>
      </c>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row>
    <row r="247" spans="1:46" x14ac:dyDescent="0.35">
      <c r="A247" s="44" t="s">
        <v>191</v>
      </c>
      <c r="B247" s="44"/>
      <c r="C247" s="216" t="s">
        <v>704</v>
      </c>
      <c r="D247" s="44" t="s">
        <v>278</v>
      </c>
      <c r="E247" s="44">
        <f t="shared" si="12"/>
        <v>0</v>
      </c>
      <c r="F247" s="44">
        <f t="shared" si="13"/>
        <v>0</v>
      </c>
      <c r="G247" s="44">
        <f t="shared" si="14"/>
        <v>0</v>
      </c>
      <c r="H247" s="44">
        <v>1</v>
      </c>
      <c r="I247" s="44">
        <f t="shared" si="15"/>
        <v>0</v>
      </c>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row>
    <row r="248" spans="1:46" x14ac:dyDescent="0.35">
      <c r="A248" s="44" t="s">
        <v>191</v>
      </c>
      <c r="B248" s="44"/>
      <c r="C248" s="216" t="s">
        <v>705</v>
      </c>
      <c r="D248" s="44" t="s">
        <v>280</v>
      </c>
      <c r="E248" s="44">
        <f t="shared" si="12"/>
        <v>0</v>
      </c>
      <c r="F248" s="44">
        <f t="shared" si="13"/>
        <v>0</v>
      </c>
      <c r="G248" s="44">
        <f t="shared" si="14"/>
        <v>0</v>
      </c>
      <c r="H248" s="44">
        <v>1</v>
      </c>
      <c r="I248" s="44">
        <f t="shared" si="15"/>
        <v>0</v>
      </c>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row>
    <row r="249" spans="1:46" x14ac:dyDescent="0.35">
      <c r="A249" s="44" t="s">
        <v>191</v>
      </c>
      <c r="B249" s="44"/>
      <c r="C249" s="218" t="s">
        <v>276</v>
      </c>
      <c r="D249" s="44"/>
      <c r="E249" s="44">
        <f t="shared" si="12"/>
        <v>0</v>
      </c>
      <c r="F249" s="44">
        <f t="shared" si="13"/>
        <v>0</v>
      </c>
      <c r="G249" s="44">
        <f t="shared" si="14"/>
        <v>0</v>
      </c>
      <c r="H249" s="44">
        <v>1</v>
      </c>
      <c r="I249" s="44">
        <f t="shared" si="15"/>
        <v>0</v>
      </c>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row>
    <row r="250" spans="1:46" x14ac:dyDescent="0.35">
      <c r="A250" s="44" t="s">
        <v>191</v>
      </c>
      <c r="B250" s="44"/>
      <c r="C250" s="216" t="s">
        <v>706</v>
      </c>
      <c r="D250" s="44" t="s">
        <v>198</v>
      </c>
      <c r="E250" s="44">
        <f t="shared" si="12"/>
        <v>0</v>
      </c>
      <c r="F250" s="44">
        <f t="shared" si="13"/>
        <v>0</v>
      </c>
      <c r="G250" s="44">
        <f t="shared" si="14"/>
        <v>0</v>
      </c>
      <c r="H250" s="44">
        <v>1</v>
      </c>
      <c r="I250" s="44">
        <f t="shared" si="15"/>
        <v>0</v>
      </c>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row>
    <row r="251" spans="1:46" x14ac:dyDescent="0.35">
      <c r="A251" s="44" t="s">
        <v>191</v>
      </c>
      <c r="B251" s="44"/>
      <c r="C251" s="216" t="s">
        <v>707</v>
      </c>
      <c r="D251" s="44" t="s">
        <v>459</v>
      </c>
      <c r="E251" s="44">
        <f t="shared" si="12"/>
        <v>0</v>
      </c>
      <c r="F251" s="44">
        <f t="shared" si="13"/>
        <v>0</v>
      </c>
      <c r="G251" s="44">
        <f t="shared" si="14"/>
        <v>0</v>
      </c>
      <c r="H251" s="44">
        <v>1</v>
      </c>
      <c r="I251" s="44">
        <f t="shared" si="15"/>
        <v>0</v>
      </c>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row>
    <row r="252" spans="1:46" x14ac:dyDescent="0.35">
      <c r="A252" s="44" t="s">
        <v>191</v>
      </c>
      <c r="B252" s="44"/>
      <c r="C252" s="216" t="s">
        <v>708</v>
      </c>
      <c r="D252" s="44" t="s">
        <v>227</v>
      </c>
      <c r="E252" s="44">
        <f t="shared" si="12"/>
        <v>0</v>
      </c>
      <c r="F252" s="44">
        <f t="shared" si="13"/>
        <v>0</v>
      </c>
      <c r="G252" s="44">
        <f t="shared" si="14"/>
        <v>0</v>
      </c>
      <c r="H252" s="44">
        <v>1</v>
      </c>
      <c r="I252" s="44">
        <f t="shared" si="15"/>
        <v>0</v>
      </c>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row>
    <row r="253" spans="1:46" x14ac:dyDescent="0.35">
      <c r="A253" s="44" t="s">
        <v>191</v>
      </c>
      <c r="B253" s="44"/>
      <c r="C253" s="216" t="s">
        <v>709</v>
      </c>
      <c r="D253" s="44" t="s">
        <v>279</v>
      </c>
      <c r="E253" s="44">
        <f t="shared" si="12"/>
        <v>0</v>
      </c>
      <c r="F253" s="44">
        <f t="shared" si="13"/>
        <v>0</v>
      </c>
      <c r="G253" s="44">
        <f t="shared" si="14"/>
        <v>0</v>
      </c>
      <c r="H253" s="44">
        <v>1</v>
      </c>
      <c r="I253" s="44">
        <f t="shared" si="15"/>
        <v>0</v>
      </c>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row>
    <row r="254" spans="1:46" x14ac:dyDescent="0.35">
      <c r="A254" s="44" t="s">
        <v>191</v>
      </c>
      <c r="B254" s="44"/>
      <c r="C254" s="216" t="s">
        <v>710</v>
      </c>
      <c r="D254" s="44" t="s">
        <v>278</v>
      </c>
      <c r="E254" s="44">
        <f t="shared" si="12"/>
        <v>0</v>
      </c>
      <c r="F254" s="44">
        <f t="shared" si="13"/>
        <v>0</v>
      </c>
      <c r="G254" s="44">
        <f t="shared" si="14"/>
        <v>0</v>
      </c>
      <c r="H254" s="44">
        <v>1</v>
      </c>
      <c r="I254" s="44">
        <f t="shared" si="15"/>
        <v>0</v>
      </c>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row>
    <row r="255" spans="1:46" x14ac:dyDescent="0.35">
      <c r="A255" s="44" t="s">
        <v>191</v>
      </c>
      <c r="B255" s="44"/>
      <c r="C255" s="216" t="s">
        <v>711</v>
      </c>
      <c r="D255" s="44" t="s">
        <v>280</v>
      </c>
      <c r="E255" s="44">
        <f t="shared" si="12"/>
        <v>0</v>
      </c>
      <c r="F255" s="44">
        <f t="shared" si="13"/>
        <v>0</v>
      </c>
      <c r="G255" s="44">
        <f t="shared" si="14"/>
        <v>0</v>
      </c>
      <c r="H255" s="44">
        <v>1</v>
      </c>
      <c r="I255" s="44">
        <f t="shared" si="15"/>
        <v>0</v>
      </c>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row>
    <row r="256" spans="1:46" x14ac:dyDescent="0.35">
      <c r="A256" s="44"/>
      <c r="B256" s="44"/>
      <c r="C256" s="216"/>
      <c r="D256" s="44"/>
      <c r="E256" s="44"/>
      <c r="F256" s="44"/>
      <c r="G256" s="44"/>
      <c r="H256" s="44"/>
      <c r="I256" s="44"/>
      <c r="J256" s="44"/>
      <c r="K256" s="44">
        <f t="shared" ref="K256:AT256" si="16">SUMIF(K4:K255, "-",$H$4:$H$255)*54</f>
        <v>0</v>
      </c>
      <c r="L256" s="44">
        <f t="shared" si="16"/>
        <v>0</v>
      </c>
      <c r="M256" s="44">
        <f t="shared" si="16"/>
        <v>0</v>
      </c>
      <c r="N256" s="44">
        <f t="shared" si="16"/>
        <v>0</v>
      </c>
      <c r="O256" s="44">
        <f t="shared" si="16"/>
        <v>0</v>
      </c>
      <c r="P256" s="44">
        <f t="shared" si="16"/>
        <v>0</v>
      </c>
      <c r="Q256" s="44">
        <f t="shared" si="16"/>
        <v>0</v>
      </c>
      <c r="R256" s="44">
        <f t="shared" si="16"/>
        <v>0</v>
      </c>
      <c r="S256" s="44">
        <f t="shared" si="16"/>
        <v>0</v>
      </c>
      <c r="T256" s="44">
        <f t="shared" si="16"/>
        <v>0</v>
      </c>
      <c r="U256" s="44">
        <f t="shared" si="16"/>
        <v>0</v>
      </c>
      <c r="V256" s="44">
        <f t="shared" si="16"/>
        <v>0</v>
      </c>
      <c r="W256" s="44">
        <f t="shared" si="16"/>
        <v>0</v>
      </c>
      <c r="X256" s="44">
        <f t="shared" si="16"/>
        <v>0</v>
      </c>
      <c r="Y256" s="44">
        <f t="shared" si="16"/>
        <v>0</v>
      </c>
      <c r="Z256" s="44">
        <f t="shared" si="16"/>
        <v>0</v>
      </c>
      <c r="AA256" s="44">
        <f t="shared" si="16"/>
        <v>0</v>
      </c>
      <c r="AB256" s="44">
        <f t="shared" si="16"/>
        <v>0</v>
      </c>
      <c r="AC256" s="44">
        <f t="shared" si="16"/>
        <v>0</v>
      </c>
      <c r="AD256" s="44">
        <f t="shared" si="16"/>
        <v>0</v>
      </c>
      <c r="AE256" s="44">
        <f t="shared" si="16"/>
        <v>0</v>
      </c>
      <c r="AF256" s="44">
        <f t="shared" si="16"/>
        <v>0</v>
      </c>
      <c r="AG256" s="44">
        <f t="shared" si="16"/>
        <v>0</v>
      </c>
      <c r="AH256" s="44">
        <f t="shared" si="16"/>
        <v>0</v>
      </c>
      <c r="AI256" s="44">
        <f t="shared" si="16"/>
        <v>0</v>
      </c>
      <c r="AJ256" s="44">
        <f t="shared" si="16"/>
        <v>0</v>
      </c>
      <c r="AK256" s="44">
        <f t="shared" si="16"/>
        <v>0</v>
      </c>
      <c r="AL256" s="44">
        <f t="shared" si="16"/>
        <v>0</v>
      </c>
      <c r="AM256" s="44">
        <f t="shared" si="16"/>
        <v>0</v>
      </c>
      <c r="AN256" s="44">
        <f t="shared" si="16"/>
        <v>0</v>
      </c>
      <c r="AO256" s="44">
        <f t="shared" si="16"/>
        <v>0</v>
      </c>
      <c r="AP256" s="44">
        <f t="shared" si="16"/>
        <v>0</v>
      </c>
      <c r="AQ256" s="44">
        <f t="shared" si="16"/>
        <v>0</v>
      </c>
      <c r="AR256" s="44">
        <f t="shared" si="16"/>
        <v>0</v>
      </c>
      <c r="AS256" s="44">
        <f t="shared" si="16"/>
        <v>0</v>
      </c>
      <c r="AT256" s="44">
        <f t="shared" si="16"/>
        <v>0</v>
      </c>
    </row>
    <row r="257" spans="1:46" x14ac:dyDescent="0.35">
      <c r="A257" s="44"/>
      <c r="B257" s="44"/>
      <c r="C257" s="216"/>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row>
    <row r="258" spans="1:46" x14ac:dyDescent="0.35">
      <c r="A258" s="44"/>
      <c r="B258" s="44"/>
      <c r="C258" s="216"/>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row>
    <row r="259" spans="1:46" x14ac:dyDescent="0.35">
      <c r="A259" s="44"/>
      <c r="B259" s="44"/>
      <c r="C259" s="216"/>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row>
    <row r="260" spans="1:46" x14ac:dyDescent="0.35">
      <c r="A260" s="44"/>
      <c r="B260" s="44"/>
      <c r="C260" s="216"/>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row>
    <row r="261" spans="1:46" x14ac:dyDescent="0.35">
      <c r="A261" s="44"/>
      <c r="B261" s="44"/>
      <c r="C261" s="216"/>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row>
    <row r="262" spans="1:46" x14ac:dyDescent="0.35">
      <c r="A262" s="44"/>
      <c r="B262" s="44"/>
      <c r="C262" s="216"/>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row>
    <row r="263" spans="1:46" x14ac:dyDescent="0.35">
      <c r="A263" s="44"/>
      <c r="B263" s="44"/>
      <c r="C263" s="216"/>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row>
    <row r="264" spans="1:46" x14ac:dyDescent="0.35">
      <c r="A264" s="44"/>
      <c r="B264" s="44"/>
      <c r="C264" s="216"/>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row>
    <row r="265" spans="1:46" x14ac:dyDescent="0.35">
      <c r="A265" s="44"/>
      <c r="B265" s="44"/>
      <c r="C265" s="216"/>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row>
    <row r="266" spans="1:46" x14ac:dyDescent="0.35">
      <c r="A266" s="44"/>
      <c r="B266" s="44"/>
      <c r="C266" s="216"/>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row>
    <row r="267" spans="1:46" x14ac:dyDescent="0.35">
      <c r="A267" s="44"/>
      <c r="B267" s="44"/>
      <c r="C267" s="216"/>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row>
    <row r="268" spans="1:46" x14ac:dyDescent="0.35">
      <c r="A268" s="44"/>
      <c r="B268" s="44"/>
      <c r="C268" s="216"/>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row>
    <row r="269" spans="1:46" x14ac:dyDescent="0.35">
      <c r="A269" s="44"/>
      <c r="B269" s="44"/>
      <c r="C269" s="216"/>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row>
    <row r="270" spans="1:46" x14ac:dyDescent="0.35">
      <c r="A270" s="44"/>
      <c r="B270" s="44"/>
      <c r="C270" s="216"/>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row>
    <row r="271" spans="1:46" x14ac:dyDescent="0.35">
      <c r="A271" s="44"/>
      <c r="B271" s="44"/>
      <c r="C271" s="216"/>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row>
    <row r="272" spans="1:46" x14ac:dyDescent="0.35">
      <c r="A272" s="44"/>
      <c r="B272" s="44"/>
      <c r="C272" s="216"/>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row>
    <row r="273" spans="1:46" x14ac:dyDescent="0.35">
      <c r="A273" s="44"/>
      <c r="B273" s="44"/>
      <c r="C273" s="216"/>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row>
    <row r="274" spans="1:46" x14ac:dyDescent="0.35">
      <c r="A274" s="44"/>
      <c r="B274" s="44"/>
      <c r="C274" s="216"/>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row>
    <row r="275" spans="1:46" x14ac:dyDescent="0.35">
      <c r="A275" s="44"/>
      <c r="B275" s="44"/>
      <c r="C275" s="216"/>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row>
    <row r="276" spans="1:46" x14ac:dyDescent="0.35">
      <c r="A276" s="44"/>
      <c r="B276" s="44"/>
      <c r="C276" s="216"/>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row>
    <row r="277" spans="1:46" x14ac:dyDescent="0.35">
      <c r="A277" s="44"/>
      <c r="B277" s="44"/>
      <c r="C277" s="216"/>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row>
    <row r="278" spans="1:46" x14ac:dyDescent="0.35">
      <c r="A278" s="44"/>
      <c r="B278" s="44"/>
      <c r="C278" s="216"/>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row>
    <row r="279" spans="1:46" x14ac:dyDescent="0.35">
      <c r="A279" s="44"/>
      <c r="B279" s="44"/>
      <c r="C279" s="216"/>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row>
    <row r="280" spans="1:46" x14ac:dyDescent="0.35">
      <c r="A280" s="44"/>
      <c r="B280" s="44"/>
      <c r="C280" s="216"/>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row>
    <row r="281" spans="1:46" x14ac:dyDescent="0.35">
      <c r="A281" s="44"/>
      <c r="B281" s="44"/>
      <c r="C281" s="216"/>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row>
    <row r="282" spans="1:46" x14ac:dyDescent="0.35">
      <c r="A282" s="44"/>
      <c r="B282" s="44"/>
      <c r="C282" s="216"/>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row>
    <row r="283" spans="1:46" x14ac:dyDescent="0.35">
      <c r="A283" s="44"/>
      <c r="B283" s="44"/>
      <c r="C283" s="216"/>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row>
    <row r="284" spans="1:46" x14ac:dyDescent="0.35">
      <c r="A284" s="44"/>
      <c r="B284" s="44"/>
      <c r="C284" s="216"/>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row>
    <row r="285" spans="1:46" x14ac:dyDescent="0.35">
      <c r="A285" s="44"/>
      <c r="B285" s="44"/>
      <c r="C285" s="216"/>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row>
    <row r="286" spans="1:46" x14ac:dyDescent="0.35">
      <c r="A286" s="44"/>
      <c r="B286" s="44"/>
      <c r="C286" s="216"/>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row>
    <row r="287" spans="1:46" x14ac:dyDescent="0.35">
      <c r="A287" s="44"/>
      <c r="B287" s="44"/>
      <c r="C287" s="216"/>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row>
    <row r="288" spans="1:46" x14ac:dyDescent="0.35">
      <c r="A288" s="44"/>
      <c r="B288" s="44"/>
      <c r="C288" s="216"/>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row>
    <row r="289" spans="1:46" x14ac:dyDescent="0.35">
      <c r="A289" s="44"/>
      <c r="B289" s="44"/>
      <c r="C289" s="216"/>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row>
    <row r="290" spans="1:46" x14ac:dyDescent="0.35">
      <c r="A290" s="44"/>
      <c r="B290" s="44"/>
      <c r="C290" s="216"/>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row>
    <row r="291" spans="1:46" x14ac:dyDescent="0.35">
      <c r="A291" s="44"/>
      <c r="B291" s="44"/>
      <c r="C291" s="216"/>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row>
    <row r="292" spans="1:46" x14ac:dyDescent="0.35">
      <c r="A292" s="44"/>
      <c r="B292" s="44"/>
      <c r="C292" s="216"/>
      <c r="D292" s="44"/>
      <c r="E292" s="44"/>
      <c r="F292" s="44"/>
      <c r="G292" s="44"/>
      <c r="H292" s="44"/>
      <c r="I292" s="44"/>
      <c r="J292" s="44"/>
      <c r="K292" s="44">
        <f t="shared" ref="K292:AT292" si="17">SUMIF(K4:K291, "-",$H$4:$H$291)*54</f>
        <v>0</v>
      </c>
      <c r="L292" s="44">
        <f t="shared" si="17"/>
        <v>0</v>
      </c>
      <c r="M292" s="44">
        <f t="shared" si="17"/>
        <v>0</v>
      </c>
      <c r="N292" s="44">
        <f t="shared" si="17"/>
        <v>0</v>
      </c>
      <c r="O292" s="44">
        <f t="shared" si="17"/>
        <v>0</v>
      </c>
      <c r="P292" s="44">
        <f t="shared" si="17"/>
        <v>0</v>
      </c>
      <c r="Q292" s="44">
        <f t="shared" si="17"/>
        <v>0</v>
      </c>
      <c r="R292" s="44">
        <f t="shared" si="17"/>
        <v>0</v>
      </c>
      <c r="S292" s="44">
        <f t="shared" si="17"/>
        <v>0</v>
      </c>
      <c r="T292" s="44">
        <f t="shared" si="17"/>
        <v>0</v>
      </c>
      <c r="U292" s="44">
        <f t="shared" si="17"/>
        <v>0</v>
      </c>
      <c r="V292" s="44">
        <f t="shared" si="17"/>
        <v>0</v>
      </c>
      <c r="W292" s="44">
        <f t="shared" si="17"/>
        <v>0</v>
      </c>
      <c r="X292" s="44">
        <f t="shared" si="17"/>
        <v>0</v>
      </c>
      <c r="Y292" s="44">
        <f t="shared" si="17"/>
        <v>0</v>
      </c>
      <c r="Z292" s="44">
        <f t="shared" si="17"/>
        <v>0</v>
      </c>
      <c r="AA292" s="44">
        <f t="shared" si="17"/>
        <v>0</v>
      </c>
      <c r="AB292" s="44">
        <f t="shared" si="17"/>
        <v>0</v>
      </c>
      <c r="AC292" s="44">
        <f t="shared" si="17"/>
        <v>0</v>
      </c>
      <c r="AD292" s="44">
        <f t="shared" si="17"/>
        <v>0</v>
      </c>
      <c r="AE292" s="44">
        <f t="shared" si="17"/>
        <v>0</v>
      </c>
      <c r="AF292" s="44">
        <f t="shared" si="17"/>
        <v>0</v>
      </c>
      <c r="AG292" s="44">
        <f t="shared" si="17"/>
        <v>0</v>
      </c>
      <c r="AH292" s="44">
        <f t="shared" si="17"/>
        <v>0</v>
      </c>
      <c r="AI292" s="44">
        <f t="shared" si="17"/>
        <v>0</v>
      </c>
      <c r="AJ292" s="44">
        <f t="shared" si="17"/>
        <v>0</v>
      </c>
      <c r="AK292" s="44">
        <f t="shared" si="17"/>
        <v>0</v>
      </c>
      <c r="AL292" s="44">
        <f t="shared" si="17"/>
        <v>0</v>
      </c>
      <c r="AM292" s="44">
        <f t="shared" si="17"/>
        <v>0</v>
      </c>
      <c r="AN292" s="44">
        <f t="shared" si="17"/>
        <v>0</v>
      </c>
      <c r="AO292" s="44">
        <f t="shared" si="17"/>
        <v>0</v>
      </c>
      <c r="AP292" s="44">
        <f t="shared" si="17"/>
        <v>0</v>
      </c>
      <c r="AQ292" s="44">
        <f t="shared" si="17"/>
        <v>0</v>
      </c>
      <c r="AR292" s="44">
        <f t="shared" si="17"/>
        <v>0</v>
      </c>
      <c r="AS292" s="44">
        <f t="shared" si="17"/>
        <v>0</v>
      </c>
      <c r="AT292" s="44">
        <f t="shared" si="17"/>
        <v>0</v>
      </c>
    </row>
    <row r="293" spans="1:46" x14ac:dyDescent="0.35">
      <c r="A293" s="44"/>
      <c r="B293" s="44"/>
      <c r="C293" s="216"/>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row>
    <row r="294" spans="1:46" x14ac:dyDescent="0.35">
      <c r="A294" s="44"/>
      <c r="B294" s="44"/>
      <c r="C294" s="216"/>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row>
  </sheetData>
  <autoFilter ref="A3:I3" xr:uid="{451C24ED-EDE7-42A0-98B0-AAC5B9E9FC0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773555BD-046D-48CB-BDCC-82648DCA83CD}">
          <x14:formula1>
            <xm:f>Menu!$C$1:$C$4</xm:f>
          </x14:formula1>
          <xm:sqref>A4:A45</xm:sqref>
        </x14:dataValidation>
        <x14:dataValidation type="list" allowBlank="1" showInputMessage="1" showErrorMessage="1" xr:uid="{A851EF28-BAC0-4BE6-8EA3-B7A77D7178AC}">
          <x14:formula1>
            <xm:f>Team!$C$2:$C$24</xm:f>
          </x14:formula1>
          <xm:sqref>B4:B45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B1F9A72A8CC01489C774CB7B2607630" ma:contentTypeVersion="15" ma:contentTypeDescription="Create a new document." ma:contentTypeScope="" ma:versionID="9b0dda0da4291b9e93226c4eebdc8264">
  <xsd:schema xmlns:xsd="http://www.w3.org/2001/XMLSchema" xmlns:xs="http://www.w3.org/2001/XMLSchema" xmlns:p="http://schemas.microsoft.com/office/2006/metadata/properties" xmlns:ns2="eb742ca7-4519-4740-9ebf-2c15392f894d" xmlns:ns3="8f90f437-bd5a-4eb1-87bc-965ac884416d" xmlns:ns4="e56652a7-f0cd-4c39-9267-b343502194c5" targetNamespace="http://schemas.microsoft.com/office/2006/metadata/properties" ma:root="true" ma:fieldsID="490289404431f566fbcc30234816eed2" ns2:_="" ns3:_="" ns4:_="">
    <xsd:import namespace="eb742ca7-4519-4740-9ebf-2c15392f894d"/>
    <xsd:import namespace="8f90f437-bd5a-4eb1-87bc-965ac884416d"/>
    <xsd:import namespace="e56652a7-f0cd-4c39-9267-b343502194c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742ca7-4519-4740-9ebf-2c15392f894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94e9c50c-adad-47e0-bda4-8b73f4f422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f90f437-bd5a-4eb1-87bc-965ac884416d"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56652a7-f0cd-4c39-9267-b343502194c5"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724b93e9-d6e5-4768-b585-1e4ab792221f}" ma:internalName="TaxCatchAll" ma:showField="CatchAllData" ma:web="8f90f437-bd5a-4eb1-87bc-965ac884416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8f90f437-bd5a-4eb1-87bc-965ac884416d">
      <UserInfo>
        <DisplayName>CIAMPOLINI Marco</DisplayName>
        <AccountId>43</AccountId>
        <AccountType/>
      </UserInfo>
      <UserInfo>
        <DisplayName>FRANCO Joao</DisplayName>
        <AccountId>661</AccountId>
        <AccountType/>
      </UserInfo>
      <UserInfo>
        <DisplayName>SCHALCH Wagner</DisplayName>
        <AccountId>13</AccountId>
        <AccountType/>
      </UserInfo>
      <UserInfo>
        <DisplayName>WANSETH SVENSSON Anders</DisplayName>
        <AccountId>390</AccountId>
        <AccountType/>
      </UserInfo>
      <UserInfo>
        <DisplayName>DI-CARMINE Antonio</DisplayName>
        <AccountId>79</AccountId>
        <AccountType/>
      </UserInfo>
      <UserInfo>
        <DisplayName>SABOT Hervé</DisplayName>
        <AccountId>146</AccountId>
        <AccountType/>
      </UserInfo>
      <UserInfo>
        <DisplayName>CASSANO Alessandro</DisplayName>
        <AccountId>286</AccountId>
        <AccountType/>
      </UserInfo>
    </SharedWithUsers>
    <TaxCatchAll xmlns="e56652a7-f0cd-4c39-9267-b343502194c5" xsi:nil="true"/>
    <lcf76f155ced4ddcb4097134ff3c332f xmlns="eb742ca7-4519-4740-9ebf-2c15392f894d">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E65C9ABE-6AE6-4918-81FC-56D13AD2080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742ca7-4519-4740-9ebf-2c15392f894d"/>
    <ds:schemaRef ds:uri="8f90f437-bd5a-4eb1-87bc-965ac884416d"/>
    <ds:schemaRef ds:uri="e56652a7-f0cd-4c39-9267-b343502194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3E8313C-B81C-4D43-906F-57F7BC7A431E}">
  <ds:schemaRefs>
    <ds:schemaRef ds:uri="http://schemas.microsoft.com/sharepoint/v3/contenttype/forms"/>
  </ds:schemaRefs>
</ds:datastoreItem>
</file>

<file path=customXml/itemProps3.xml><?xml version="1.0" encoding="utf-8"?>
<ds:datastoreItem xmlns:ds="http://schemas.openxmlformats.org/officeDocument/2006/customXml" ds:itemID="{FCE4408A-3B2F-404D-8B73-91935CB2C0A5}">
  <ds:schemaRefs>
    <ds:schemaRef ds:uri="http://schemas.microsoft.com/office/2006/metadata/properties"/>
    <ds:schemaRef ds:uri="http://schemas.microsoft.com/office/infopath/2007/PartnerControls"/>
    <ds:schemaRef ds:uri="8f90f437-bd5a-4eb1-87bc-965ac884416d"/>
    <ds:schemaRef ds:uri="e56652a7-f0cd-4c39-9267-b343502194c5"/>
    <ds:schemaRef ds:uri="eb742ca7-4519-4740-9ebf-2c15392f894d"/>
  </ds:schemaRefs>
</ds:datastoreItem>
</file>

<file path=customXml/itemProps4.xml><?xml version="1.0" encoding="utf-8"?>
<ds:datastoreItem xmlns:ds="http://schemas.openxmlformats.org/officeDocument/2006/customXml" ds:itemID="{6C6E695E-61AF-4DA8-B33F-6E601F67074E}">
  <ds:schemaRefs>
    <ds:schemaRef ds:uri="http://schemas.microsoft.com/DataMashup"/>
  </ds:schemaRefs>
</ds:datastoreItem>
</file>

<file path=docMetadata/LabelInfo.xml><?xml version="1.0" encoding="utf-8"?>
<clbl:labelList xmlns:clbl="http://schemas.microsoft.com/office/2020/mipLabelMetadata">
  <clbl:label id="{202412c0-1e7d-4ccc-99a7-7c8f0a21f86d}" enabled="1" method="Standard" siteId="{0d993ad3-fa73-421a-b129-1fe5590103f3}" contentBits="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Foglio1</vt:lpstr>
      <vt:lpstr>Changelog</vt:lpstr>
      <vt:lpstr>Open Points</vt:lpstr>
      <vt:lpstr>Roadmap_AC</vt:lpstr>
      <vt:lpstr>Menu</vt:lpstr>
      <vt:lpstr>Roadmap</vt:lpstr>
      <vt:lpstr>Team</vt:lpstr>
      <vt:lpstr>View2</vt:lpstr>
      <vt:lpstr>View</vt:lpstr>
      <vt:lpstr>ppt (to be del)</vt:lpstr>
      <vt:lpstr>Workload</vt:lpstr>
      <vt:lpstr>Workload old</vt:lpstr>
      <vt:lpstr>Planback</vt:lpstr>
      <vt:lpstr>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MASTRONARDI Alessandro</dc:creator>
  <cp:keywords/>
  <dc:description/>
  <cp:lastModifiedBy>MASTRONARDI Alessandro</cp:lastModifiedBy>
  <cp:revision/>
  <dcterms:created xsi:type="dcterms:W3CDTF">2015-06-05T18:19:34Z</dcterms:created>
  <dcterms:modified xsi:type="dcterms:W3CDTF">2024-06-17T07:38:38Z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0x0101007B1F9A72A8CC01489C774CB7B2607630</vt:lpwstr>
  </property>
  <property fmtid="{D5CDD505-2E9C-101B-9397-08002B2CF9AE}" pid="3" name="MediaServiceImageTags">
    <vt:lpwstr/>
  </property>
</Properties>
</file>